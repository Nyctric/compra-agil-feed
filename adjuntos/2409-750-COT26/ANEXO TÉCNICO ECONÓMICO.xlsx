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724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 s="1"/>
  <c r="G11" i="1" l="1"/>
  <c r="G12" i="1" l="1"/>
</calcChain>
</file>

<file path=xl/sharedStrings.xml><?xml version="1.0" encoding="utf-8"?>
<sst xmlns="http://schemas.openxmlformats.org/spreadsheetml/2006/main" count="42" uniqueCount="27">
  <si>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</si>
  <si>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</si>
  <si>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</si>
  <si>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</si>
  <si>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</si>
  <si>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</si>
  <si>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</si>
  <si>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</si>
  <si>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</si>
  <si>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</si>
  <si>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</si>
  <si>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</si>
  <si>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</si>
  <si>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</si>
  <si>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</si>
  <si>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</si>
  <si>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</si>
  <si>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</si>
  <si>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</si>
  <si>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</si>
  <si>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</si>
  <si>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</si>
  <si>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</si>
  <si>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</si>
  <si>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ESTUFA COMBUSTION LENTA, COBERTURA 120M2; COLOR NEGRO; MEDIDAS: ALTO 60,7- ANCHO 38CM - PROFUNDIDAD 49,5CM; PESO: 50,5 KG; DIAMETRO DE CAÑON: 6". DEBE INCLUIR INSTALACION DE CAÑON Y REJA DE PROTECCION DE FIERRO DE I METRO DE ALTURA.</t>
  </si>
  <si>
    <t>ADQUISICION E INSTALACION DE ESTUFA PARA ESCUELA G-914 EL AMANECER DE DUQUECO.</t>
  </si>
  <si>
    <t>COMPRA AGIL ID 2409-750-COT26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</si>
</sst>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26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25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23</v>
      </c>
      <c r="E8" s="13" t="s">
        <v>2</v>
      </c>
      <c r="F8" s="13" t="s">
        <v>3</v>
      </c>
      <c r="G8" s="13" t="s">
        <v>4</v>
      </c>
    </row>
    <row r="9" spans="1:9" s="14" customFormat="1" ht="96.6" x14ac:dyDescent="0.3">
      <c r="A9" s="15">
        <v>1</v>
      </c>
      <c r="B9" s="16" t="s">
        <v>24</v>
      </c>
      <c r="C9" s="17" t="s">
        <v>15</v>
      </c>
      <c r="D9" s="18"/>
      <c r="E9" s="15">
        <v>1</v>
      </c>
      <c r="F9" s="13"/>
      <c r="G9" s="15">
        <f>E9*F9</f>
        <v>0</v>
      </c>
    </row>
    <row r="10" spans="1:9" ht="30.75" customHeight="1" x14ac:dyDescent="0.25">
      <c r="E10" s="38" t="s">
        <v>7</v>
      </c>
      <c r="F10" s="38"/>
      <c r="G10" s="20">
        <f>SUM(G9:G9)</f>
        <v>0</v>
      </c>
    </row>
    <row r="11" spans="1:9" x14ac:dyDescent="0.25">
      <c r="E11" s="38" t="s">
        <v>5</v>
      </c>
      <c r="F11" s="38"/>
      <c r="G11" s="20">
        <f>G10*19%</f>
        <v>0</v>
      </c>
    </row>
    <row r="12" spans="1:9" ht="30.75" customHeight="1" x14ac:dyDescent="0.25">
      <c r="E12" s="38" t="s">
        <v>4</v>
      </c>
      <c r="F12" s="38"/>
      <c r="G12" s="20">
        <f>G10*(1+0.19)</f>
        <v>0</v>
      </c>
    </row>
    <row r="13" spans="1:9" ht="30.75" customHeight="1" thickBot="1" x14ac:dyDescent="0.3">
      <c r="B13" s="39" t="s">
        <v>14</v>
      </c>
      <c r="C13" s="39"/>
      <c r="D13" s="39"/>
      <c r="E13" s="39"/>
      <c r="F13" s="39"/>
    </row>
    <row r="14" spans="1:9" x14ac:dyDescent="0.25">
      <c r="B14" s="21" t="s">
        <v>16</v>
      </c>
      <c r="C14" s="22"/>
      <c r="D14" s="22"/>
      <c r="E14" s="23"/>
      <c r="F14" s="24"/>
    </row>
    <row r="15" spans="1:9" ht="139.80000000000001" customHeight="1" x14ac:dyDescent="0.25">
      <c r="B15" s="40" t="s">
        <v>22</v>
      </c>
      <c r="C15" s="41" t="s">
        <v>17</v>
      </c>
      <c r="D15" s="41" t="s">
        <v>17</v>
      </c>
      <c r="E15" s="41" t="s">
        <v>17</v>
      </c>
      <c r="F15" s="42" t="s">
        <v>17</v>
      </c>
    </row>
    <row r="16" spans="1:9" s="26" customFormat="1" ht="72.599999999999994" customHeight="1" x14ac:dyDescent="0.25">
      <c r="A16" s="25"/>
      <c r="B16" s="40" t="s">
        <v>21</v>
      </c>
      <c r="C16" s="41" t="s">
        <v>18</v>
      </c>
      <c r="D16" s="41" t="s">
        <v>18</v>
      </c>
      <c r="E16" s="41" t="s">
        <v>18</v>
      </c>
      <c r="F16" s="42" t="s">
        <v>18</v>
      </c>
      <c r="G16" s="25"/>
    </row>
    <row r="17" spans="1:7" s="26" customFormat="1" ht="24" customHeight="1" x14ac:dyDescent="0.25">
      <c r="A17" s="25"/>
      <c r="B17" s="40" t="s">
        <v>19</v>
      </c>
      <c r="C17" s="41" t="s">
        <v>19</v>
      </c>
      <c r="D17" s="41" t="s">
        <v>19</v>
      </c>
      <c r="E17" s="41" t="s">
        <v>19</v>
      </c>
      <c r="F17" s="42" t="s">
        <v>19</v>
      </c>
      <c r="G17" s="25"/>
    </row>
    <row r="18" spans="1:7" s="26" customFormat="1" ht="33" customHeight="1" thickBot="1" x14ac:dyDescent="0.3">
      <c r="A18" s="25"/>
      <c r="B18" s="43" t="s">
        <v>20</v>
      </c>
      <c r="C18" s="44" t="s">
        <v>20</v>
      </c>
      <c r="D18" s="44" t="s">
        <v>20</v>
      </c>
      <c r="E18" s="44" t="s">
        <v>20</v>
      </c>
      <c r="F18" s="45" t="s">
        <v>20</v>
      </c>
      <c r="G18" s="25"/>
    </row>
    <row r="19" spans="1:7" s="26" customFormat="1" ht="45" customHeight="1" x14ac:dyDescent="0.25">
      <c r="A19" s="25"/>
      <c r="B19" s="27"/>
      <c r="C19" s="27"/>
      <c r="D19" s="27"/>
      <c r="E19" s="27"/>
      <c r="F19" s="27"/>
      <c r="G19" s="25"/>
    </row>
    <row r="22" spans="1:7" ht="14.4" thickBot="1" x14ac:dyDescent="0.3">
      <c r="F22" s="28"/>
    </row>
    <row r="23" spans="1:7" ht="25.5" customHeight="1" x14ac:dyDescent="0.25">
      <c r="B23" s="29" t="s">
        <v>8</v>
      </c>
      <c r="C23" s="30"/>
      <c r="D23" s="30"/>
      <c r="E23" s="31"/>
      <c r="F23" s="30"/>
    </row>
    <row r="24" spans="1:7" x14ac:dyDescent="0.25">
      <c r="B24" s="32"/>
      <c r="C24" s="33"/>
      <c r="D24" s="33"/>
      <c r="E24" s="2"/>
      <c r="F24" s="2"/>
    </row>
    <row r="25" spans="1:7" x14ac:dyDescent="0.25">
      <c r="E25" s="2"/>
      <c r="F25" s="2"/>
    </row>
    <row r="26" spans="1:7" s="34" customFormat="1" ht="14.25" customHeight="1" x14ac:dyDescent="0.25">
      <c r="A26" s="19"/>
      <c r="B26" s="37" t="s">
        <v>6</v>
      </c>
      <c r="C26" s="37"/>
      <c r="D26" s="37"/>
      <c r="E26" s="37"/>
      <c r="F26" s="37"/>
      <c r="G26" s="19"/>
    </row>
  </sheetData>
  <mergeCells count="12">
    <mergeCell ref="A3:G3"/>
    <mergeCell ref="A2:G2"/>
    <mergeCell ref="A1:G1"/>
    <mergeCell ref="B26:F26"/>
    <mergeCell ref="E10:F10"/>
    <mergeCell ref="E11:F11"/>
    <mergeCell ref="E12:F12"/>
    <mergeCell ref="B13:F13"/>
    <mergeCell ref="B16:F16"/>
    <mergeCell ref="B15:F15"/>
    <mergeCell ref="B17:F17"/>
    <mergeCell ref="B18:F18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2026-07-01T15:53:32Z</dcterms:modified>
</cp:coreProperties>
</file>