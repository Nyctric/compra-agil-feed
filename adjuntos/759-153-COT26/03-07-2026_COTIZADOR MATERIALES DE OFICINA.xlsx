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ndejusticia.sharepoint.com/sites/RepositorioSEREMIS/Documentos compartidos/SEREMI OHIGGINS/MA. ANGELICA SALAMIA/María Angélica (MIN-N-8416)/FONDO FIJO- RRFF/2026/COMPRAS/"/>
    </mc:Choice>
  </mc:AlternateContent>
  <xr:revisionPtr revIDLastSave="28" documentId="8_{4B42C5C8-C5F8-4C3F-8E6E-110087C93119}" xr6:coauthVersionLast="47" xr6:coauthVersionMax="47" xr10:uidLastSave="{069EF52A-41E1-41FA-AE29-605F3D1F3CBE}"/>
  <bookViews>
    <workbookView xWindow="-120" yWindow="-120" windowWidth="20730" windowHeight="11040" xr2:uid="{00000000-000D-0000-FFFF-FFFF00000000}"/>
  </bookViews>
  <sheets>
    <sheet name="Hoja1" sheetId="1" r:id="rId1"/>
    <sheet name="Hoja2" sheetId="3" r:id="rId2"/>
    <sheet name="DAT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27" i="3" s="1"/>
  <c r="E28" i="3" l="1"/>
  <c r="E29" i="3"/>
</calcChain>
</file>

<file path=xl/sharedStrings.xml><?xml version="1.0" encoding="utf-8"?>
<sst xmlns="http://schemas.openxmlformats.org/spreadsheetml/2006/main" count="214" uniqueCount="118">
  <si>
    <t xml:space="preserve">COTIZADOR </t>
  </si>
  <si>
    <t>1. ESPECIFICACIONES DE LA COTIZACIÓN (Llenado exclusivo de unidad requirente)</t>
  </si>
  <si>
    <t>FECHA ELABORACIÓN</t>
  </si>
  <si>
    <t>UNIDAD REQUIRENTE</t>
  </si>
  <si>
    <t>NOMBRE DE LA PERSONA QUE ELABORA LA COTIZACIÓN</t>
  </si>
  <si>
    <t>2. ESPECIFICACIONES DEL BIEN O SERVICIO (Llenado exclusivo de unidad requirente)</t>
  </si>
  <si>
    <t>Completar lo que corresponda</t>
  </si>
  <si>
    <t>NOMBRE DE LA COTIZACIÓN</t>
  </si>
  <si>
    <t>CANTIDAD</t>
  </si>
  <si>
    <t xml:space="preserve">DESCRIPCIÓN DE LA COTIZACIÓN </t>
  </si>
  <si>
    <t>PLAZOS Y CONDICIONES DE ENTREGA (Días hábiles)</t>
  </si>
  <si>
    <t>¿REQUIERE FICHA TÉCNICA? (Unidad marque con una X)</t>
  </si>
  <si>
    <t>SI</t>
  </si>
  <si>
    <t>NO</t>
  </si>
  <si>
    <t>3. OFERTA ECONÓMICA (Llenado exclusivo de oferente)</t>
  </si>
  <si>
    <t>Valor Neto</t>
  </si>
  <si>
    <t>Descuento ____  %</t>
  </si>
  <si>
    <t>Subtotal</t>
  </si>
  <si>
    <t xml:space="preserve">IVA </t>
  </si>
  <si>
    <t>Total Final</t>
  </si>
  <si>
    <t>Empresa</t>
  </si>
  <si>
    <t>RUT</t>
  </si>
  <si>
    <t>Nombre Contacto</t>
  </si>
  <si>
    <t>Correo electrónico</t>
  </si>
  <si>
    <t>Teléfono</t>
  </si>
  <si>
    <t>1. Oferente deberá presentar ficha técnica (de proceder) según punto 2. "Especificaciones del bien o servicio"</t>
  </si>
  <si>
    <t>2. Oferente deberá indicar disponibilidad de stock</t>
  </si>
  <si>
    <t>3. Oferente deberá indicar si tiene o no despacho inmediato</t>
  </si>
  <si>
    <t xml:space="preserve">MONTO </t>
  </si>
  <si>
    <t>ASUNTOS INTERNACIONALES</t>
  </si>
  <si>
    <t>AUDITORIA MINISTERIAL</t>
  </si>
  <si>
    <t>BIENESTAR</t>
  </si>
  <si>
    <t>COMUNICACIONES</t>
  </si>
  <si>
    <t>COORDINADORA DE REDUCCIÓN DE CONDENAS</t>
  </si>
  <si>
    <t>DPTO. ASISTENCIA JURIDICA</t>
  </si>
  <si>
    <t>DPTO. DE ASESORÍA Y ESTUDIOS</t>
  </si>
  <si>
    <t>DPTO. DE PERSONAS JURÍDICAS</t>
  </si>
  <si>
    <t>DPTO. JUDICIAL</t>
  </si>
  <si>
    <t>GABINETE MINISTRO</t>
  </si>
  <si>
    <t>GABINETE SUBSECRETARIO</t>
  </si>
  <si>
    <t>GDP</t>
  </si>
  <si>
    <t>GESTIÓN ADMINISTRATIVA</t>
  </si>
  <si>
    <t>INFORMÁTICA</t>
  </si>
  <si>
    <t>INVESTIGACIÓN Y COORDINACIÓN</t>
  </si>
  <si>
    <t>MEDIACIÓN Y RESOLUCIÓN ALTERNATIVA DE CONFLICTOS</t>
  </si>
  <si>
    <t>OFICINA DE PARTES</t>
  </si>
  <si>
    <t>OPLAP - PROYECTOS</t>
  </si>
  <si>
    <t>OPLAP - U. PLANIFICACIÓN Y CONTROL DE GESTIÓN</t>
  </si>
  <si>
    <t>PARTICIPACIÓN CUIDADANA</t>
  </si>
  <si>
    <t>PRESUPUESTO Y FINANZAS</t>
  </si>
  <si>
    <t>REINSERCIÓN SOCIAL ADULTO</t>
  </si>
  <si>
    <t>REINSERCIÓN SOCIAL JUVENIL</t>
  </si>
  <si>
    <t>SECCIÓN INDULTOS</t>
  </si>
  <si>
    <t>SEREMI ANTOFAGASTA</t>
  </si>
  <si>
    <t>SEREMI ARAUCANÍA</t>
  </si>
  <si>
    <t>SEREMI ARICA Y PARINACOTA</t>
  </si>
  <si>
    <t>SEREMI ATACAMA</t>
  </si>
  <si>
    <t>SEREMI AYSÉN</t>
  </si>
  <si>
    <t>SEREMI BIOBÍO</t>
  </si>
  <si>
    <t>SEREMI COQUIMBO</t>
  </si>
  <si>
    <t>SEREMI LOS LAGOS</t>
  </si>
  <si>
    <t>SEREMI LOS RÍOS</t>
  </si>
  <si>
    <t>SEREMI MAGALLANES</t>
  </si>
  <si>
    <t>SEREMI MAULE</t>
  </si>
  <si>
    <t>SEREMI METROPOLITANA</t>
  </si>
  <si>
    <t>SEREMI O´HIGGINS</t>
  </si>
  <si>
    <t>SEREMI TARAPACÁ</t>
  </si>
  <si>
    <t>SEREMI VALPARAÍSO</t>
  </si>
  <si>
    <t>SS.GG.</t>
  </si>
  <si>
    <t>UNIDAD ENTREVISTAS GRABADAS</t>
  </si>
  <si>
    <t>SEREMIS</t>
  </si>
  <si>
    <t>MONTO</t>
  </si>
  <si>
    <t>ESTIMADO</t>
  </si>
  <si>
    <t>DISPONIBLE</t>
  </si>
  <si>
    <t>4. Respecto a "Multas, sanciones y procedimiento", se aplicará lo establecido en el módulo de Compra Ágil en Mercado Públlico.</t>
  </si>
  <si>
    <t>4. PRECIO Y FORMA DE PAGO</t>
  </si>
  <si>
    <t>El precio del servicio será el ofertado por el proveedor en su cotización. El pago se realizará en una cuota una vez se ejecute el servicio y ésta sea aprobada por la Contraparte Técnica a través de su recepción conforme. 
La factura electrónica en formato XML, deberá ser enviada al siguiente correo: dipresrecepcion@custodium.com, mientras que si el proveedor emite Boletas Electrónicas (contribuyente de 1era y 2da categoría), debe enviar el documento en formato PDF a facturas@minjusticia.cl
El precio convenido en el contrato no estará afecto a reajustes.
El pago se efectuará una vez certificada la conformidad de los servicios por la Contraparte Técnica y dentro de los 30 días corridos siguientes a la recepción de la factura. 
Se reclamarán las facturas que ingresen a la Subsecretaría sin que previamente se haya emitido la certificación de la Contraparte Técnica y el Certificado de Cumplimiento de Obligaciones Laborales y Previsionales, que acredite que el contratista no tiene deudas laborales o previsionales con los trabajadores identificados en la nómina presentada como antecedente para contratar. Antes de proceder al pago, Contraparte Técnica comparará la nómina de trabajadores entregada por el proveedor previo a la formalización del contrato, con la nómina del Certificado de Cumplimiento de Obligaciones Laborales y Previsionales. Además, la Contraparte Técnica deberá solicitar el Documentos que acrediten la vigencia de la sociedad y de la personería de su representante, con una vigencia no superior a 60 días hábiles.
Asimismo, se reclamarán las facturas que:
-	No indiquen el ID de la orden de compra respectiva.
-	No sean enviadas al correo dipresrecepcion@custodium.com
-	Hayan sido generadas antes de la aceptación de la orden de compra respectiva.
-	No se ajusten a los montos informados en la recepción conforme que la Contraparte Técnica publique en www.mercadopublico.cl 
Las facturas, deberán ser extendidas a:
	Nombre		: Subsecretaría de Justicia.
	Rol Único Tributario	: 61.001.000-8
	Giro			: Administración Pública
	Dirección		: Morandé 107, Santiago.</t>
  </si>
  <si>
    <t>DÍAS HÁBILES DE PUBLICACIÓN EN PORTAL MERCADO PÚBLICO (Se sugieren de 2 a 3 días hábiles máximo)</t>
  </si>
  <si>
    <t>5. CONSIDERACIONES IMPORTANTES AL OFERTAR (Llenado exclusivo del oferente)</t>
  </si>
  <si>
    <t>6. DECLARACIÓN CUMPLIMIENTO DE CONDICIONES</t>
  </si>
  <si>
    <t>1. Declaro que conozco y acepto las condiciones especificadas en esta cotización</t>
  </si>
  <si>
    <t>2. Declaro que conozco y acepto la política general de la información de la Subsecretaría de Justicia</t>
  </si>
  <si>
    <t>3. Se encuentra vigente la Sociedad y la Personería del Representante Legal al momento de presentar la cotización para el bien/servicio requerido</t>
  </si>
  <si>
    <t>4. La vigencia de la cotización será de 90 días corridos.</t>
  </si>
  <si>
    <t>X</t>
  </si>
  <si>
    <t>MA. ANGÉLICA SALAMIÁ</t>
  </si>
  <si>
    <t>ADQUISICIÓN MATERIALES DE OFICINA</t>
  </si>
  <si>
    <t>SEREMI DE JUSTICIA Y DD.HH REGIÓN DE O'HIGGINS</t>
  </si>
  <si>
    <t>MATERIAL DE OFICINA</t>
  </si>
  <si>
    <t>MATERIALES</t>
  </si>
  <si>
    <t>PRECIO</t>
  </si>
  <si>
    <t>TOTAL</t>
  </si>
  <si>
    <t>RESMA OFICIO</t>
  </si>
  <si>
    <t>RESMA CARTA</t>
  </si>
  <si>
    <t xml:space="preserve">LAPIZ NEGRO TIRALINEA 0.5 </t>
  </si>
  <si>
    <t>LAPIZ PORTA MINAS  07</t>
  </si>
  <si>
    <t>MINAS REPUESTO 0.7</t>
  </si>
  <si>
    <t>STIC-FIX GRANDE</t>
  </si>
  <si>
    <t xml:space="preserve"> CORRECTOR LIQUIDO DE BROCHA 12 ml</t>
  </si>
  <si>
    <t>1 caja (12 unidades)</t>
  </si>
  <si>
    <t>DESTACADORES ( COLORES VARIADOS)</t>
  </si>
  <si>
    <t>CUADERNO UNIVERSITARIO</t>
  </si>
  <si>
    <t xml:space="preserve">NOTAS AMARILLO 75X75MM </t>
  </si>
  <si>
    <t>NOTAS COLORES 38X50MM</t>
  </si>
  <si>
    <t>CLIPS PUNTA REDONDA 33 MM</t>
  </si>
  <si>
    <t>30 cajas</t>
  </si>
  <si>
    <t>LAPICES COLORES CRAYONES (CERA 24 COLORES)</t>
  </si>
  <si>
    <t>BORRADOR DE PIZARRA VIDRIO</t>
  </si>
  <si>
    <t>CROQUERAS 9X13 CMS</t>
  </si>
  <si>
    <t>PLUMONES PIZARRA AZUL, NEGRO , ROJO (NO PERMANENTES)</t>
  </si>
  <si>
    <t>CARTONERA GRANDE</t>
  </si>
  <si>
    <t>LIBROS ACTA (CUADRICULADO)</t>
  </si>
  <si>
    <t>DEDO DE GOMA</t>
  </si>
  <si>
    <t xml:space="preserve">GUILLOTINA </t>
  </si>
  <si>
    <t xml:space="preserve">BOLSA DE ELÁSTICOS </t>
  </si>
  <si>
    <t>NETO</t>
  </si>
  <si>
    <t>IVA</t>
  </si>
  <si>
    <t>GUILLOTINA MULTIFUNCIÓN A4 40 HOJAS USO RUDO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</si>
</sst>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42" formatCode="_ &quot;$&quot;* #,##0_ ;_ &quot;$&quot;* \-#,##0_ ;_ &quot;$&quot;* &quot;-&quot;_ ;_ @_ "/>
  </numFmts>
  <fonts count="1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Arial"/>
      <family val="2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8"/>
      <color theme="1"/>
      <name val="Verdana"/>
      <family val="2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3" xfId="0" applyBorder="1"/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0" fillId="3" borderId="3" xfId="0" applyFill="1" applyBorder="1"/>
    <xf numFmtId="0" fontId="0" fillId="0" borderId="3" xfId="0" applyBorder="1" applyAlignment="1">
      <alignment horizont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9" fontId="0" fillId="0" borderId="0" xfId="0" applyNumberFormat="1"/>
    <xf numFmtId="0" fontId="15" fillId="0" borderId="0" xfId="0" applyFont="1"/>
    <xf numFmtId="3" fontId="0" fillId="0" borderId="3" xfId="0" applyNumberFormat="1" applyBorder="1"/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42" fontId="0" fillId="3" borderId="3" xfId="0" applyNumberForma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0" fillId="6" borderId="5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6" fontId="6" fillId="3" borderId="5" xfId="0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6" fillId="0" borderId="0" xfId="0" applyFont="1"/>
    <xf numFmtId="0" fontId="17" fillId="7" borderId="14" xfId="0" applyFont="1" applyFill="1" applyBorder="1" applyAlignment="1">
      <alignment horizontal="center"/>
    </xf>
    <xf numFmtId="0" fontId="17" fillId="0" borderId="0" xfId="0" applyFont="1"/>
    <xf numFmtId="0" fontId="18" fillId="8" borderId="15" xfId="0" applyFont="1" applyFill="1" applyBorder="1" applyAlignment="1">
      <alignment horizontal="center"/>
    </xf>
    <xf numFmtId="0" fontId="18" fillId="8" borderId="16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5" xfId="0" applyBorder="1" applyAlignment="1">
      <alignment horizontal="left"/>
    </xf>
    <xf numFmtId="3" fontId="0" fillId="0" borderId="13" xfId="0" applyNumberFormat="1" applyBorder="1"/>
    <xf numFmtId="0" fontId="15" fillId="8" borderId="18" xfId="0" applyFont="1" applyFill="1" applyBorder="1"/>
    <xf numFmtId="3" fontId="15" fillId="8" borderId="19" xfId="0" applyNumberFormat="1" applyFont="1" applyFill="1" applyBorder="1"/>
    <xf numFmtId="0" fontId="15" fillId="8" borderId="20" xfId="0" applyFont="1" applyFill="1" applyBorder="1"/>
    <xf numFmtId="3" fontId="15" fillId="8" borderId="21" xfId="0" applyNumberFormat="1" applyFont="1" applyFill="1" applyBorder="1"/>
    <xf numFmtId="0" fontId="15" fillId="8" borderId="22" xfId="0" applyFont="1" applyFill="1" applyBorder="1"/>
    <xf numFmtId="3" fontId="15" fillId="8" borderId="23" xfId="0" applyNumberFormat="1" applyFont="1" applyFill="1" applyBorder="1"/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1028700</xdr:colOff>
      <xdr:row>0</xdr:row>
      <xdr:rowOff>19051</xdr:rowOff>
    </xdr:from>
    <xdr:to>
      <xdr:col>0</xdr:col>
      <xdr:colOff>1943100</xdr:colOff>
      <xdr:row>4</xdr:row>
      <xdr:rowOff>128869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246768-505D-9405-9FDB-DF603675D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19051"/>
          <a:ext cx="914400" cy="842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1"/>
  <sheetViews>
    <sheetView tabSelected="1" zoomScale="130" zoomScaleNormal="130" workbookViewId="0">
      <selection activeCell="B37" sqref="B37:E37"/>
    </sheetView>
  </sheetViews>
  <sheetFormatPr baseColWidth="10" defaultColWidth="11.42578125" defaultRowHeight="15" x14ac:dyDescent="0.25"/>
  <cols>
    <col min="1" max="1" width="51.7109375" customWidth="1"/>
    <col min="2" max="4" width="17.7109375" customWidth="1"/>
    <col min="5" max="5" width="32.42578125" customWidth="1"/>
  </cols>
  <sheetData>
    <row r="1" spans="1:5" ht="14.45" customHeight="1" x14ac:dyDescent="0.25">
      <c r="A1" s="27"/>
      <c r="B1" s="28" t="s">
        <v>0</v>
      </c>
      <c r="C1" s="28"/>
      <c r="D1" s="28"/>
      <c r="E1" s="28"/>
    </row>
    <row r="2" spans="1:5" ht="14.45" customHeight="1" x14ac:dyDescent="0.25">
      <c r="A2" s="27"/>
      <c r="B2" s="28"/>
      <c r="C2" s="28"/>
      <c r="D2" s="28"/>
      <c r="E2" s="28"/>
    </row>
    <row r="3" spans="1:5" ht="14.45" customHeight="1" x14ac:dyDescent="0.25">
      <c r="A3" s="27"/>
      <c r="B3" s="28"/>
      <c r="C3" s="28"/>
      <c r="D3" s="28"/>
      <c r="E3" s="28"/>
    </row>
    <row r="4" spans="1:5" ht="14.45" customHeight="1" x14ac:dyDescent="0.25">
      <c r="A4" s="27"/>
      <c r="B4" s="28"/>
      <c r="C4" s="28"/>
      <c r="D4" s="28"/>
      <c r="E4" s="28"/>
    </row>
    <row r="5" spans="1:5" ht="14.45" customHeight="1" x14ac:dyDescent="0.25">
      <c r="A5" s="27"/>
      <c r="B5" s="28"/>
      <c r="C5" s="28"/>
      <c r="D5" s="28"/>
      <c r="E5" s="28"/>
    </row>
    <row r="6" spans="1:5" ht="27" customHeight="1" x14ac:dyDescent="0.35">
      <c r="A6" s="29" t="s">
        <v>1</v>
      </c>
      <c r="B6" s="33"/>
      <c r="C6" s="33"/>
      <c r="D6" s="33"/>
      <c r="E6" s="33"/>
    </row>
    <row r="7" spans="1:5" ht="15" customHeight="1" x14ac:dyDescent="0.25">
      <c r="A7" s="2" t="s">
        <v>2</v>
      </c>
      <c r="B7" s="38">
        <v>46206</v>
      </c>
      <c r="C7" s="39"/>
      <c r="D7" s="39"/>
      <c r="E7" s="39"/>
    </row>
    <row r="8" spans="1:5" ht="15" customHeight="1" x14ac:dyDescent="0.25">
      <c r="A8" s="3" t="s">
        <v>3</v>
      </c>
      <c r="B8" s="34" t="s">
        <v>65</v>
      </c>
      <c r="C8" s="34"/>
      <c r="D8" s="34"/>
      <c r="E8" s="34"/>
    </row>
    <row r="9" spans="1:5" ht="15" customHeight="1" x14ac:dyDescent="0.25">
      <c r="A9" s="3" t="s">
        <v>4</v>
      </c>
      <c r="B9" s="34" t="s">
        <v>85</v>
      </c>
      <c r="C9" s="34"/>
      <c r="D9" s="34"/>
      <c r="E9" s="34"/>
    </row>
    <row r="10" spans="1:5" ht="30" customHeight="1" x14ac:dyDescent="0.25">
      <c r="A10" s="6" t="s">
        <v>77</v>
      </c>
      <c r="B10" s="35">
        <v>3</v>
      </c>
      <c r="C10" s="36"/>
      <c r="D10" s="36"/>
      <c r="E10" s="37"/>
    </row>
    <row r="11" spans="1:5" ht="26.25" customHeight="1" x14ac:dyDescent="0.35">
      <c r="A11" s="29" t="s">
        <v>5</v>
      </c>
      <c r="B11" s="29"/>
      <c r="C11" s="29"/>
      <c r="D11" s="29"/>
      <c r="E11" s="29"/>
    </row>
    <row r="12" spans="1:5" ht="15" customHeight="1" x14ac:dyDescent="0.25">
      <c r="A12" s="30" t="s">
        <v>6</v>
      </c>
      <c r="B12" s="31"/>
      <c r="C12" s="31"/>
      <c r="D12" s="31"/>
      <c r="E12" s="32"/>
    </row>
    <row r="13" spans="1:5" ht="24" customHeight="1" x14ac:dyDescent="0.25">
      <c r="A13" s="81" t="s">
        <v>7</v>
      </c>
      <c r="B13" s="49" t="s">
        <v>86</v>
      </c>
      <c r="C13" s="40"/>
      <c r="D13" s="40"/>
      <c r="E13" s="50"/>
    </row>
    <row r="14" spans="1:5" ht="15" customHeight="1" x14ac:dyDescent="0.25">
      <c r="A14" s="9" t="s">
        <v>8</v>
      </c>
      <c r="B14" s="51" t="s">
        <v>9</v>
      </c>
      <c r="C14" s="52"/>
      <c r="D14" s="52"/>
      <c r="E14" s="53"/>
    </row>
    <row r="15" spans="1:5" ht="15" customHeight="1" x14ac:dyDescent="0.25">
      <c r="A15" s="72">
        <v>50</v>
      </c>
      <c r="B15" s="19" t="s">
        <v>92</v>
      </c>
      <c r="C15" s="20" t="s">
        <v>92</v>
      </c>
      <c r="D15" s="20" t="s">
        <v>92</v>
      </c>
      <c r="E15" s="21" t="s">
        <v>92</v>
      </c>
    </row>
    <row r="16" spans="1:5" ht="15" customHeight="1" x14ac:dyDescent="0.25">
      <c r="A16" s="72">
        <v>70</v>
      </c>
      <c r="B16" s="19" t="s">
        <v>93</v>
      </c>
      <c r="C16" s="20" t="s">
        <v>93</v>
      </c>
      <c r="D16" s="20" t="s">
        <v>93</v>
      </c>
      <c r="E16" s="21" t="s">
        <v>93</v>
      </c>
    </row>
    <row r="17" spans="1:5" x14ac:dyDescent="0.25">
      <c r="A17" s="72">
        <v>20</v>
      </c>
      <c r="B17" s="19" t="s">
        <v>94</v>
      </c>
      <c r="C17" s="20" t="s">
        <v>94</v>
      </c>
      <c r="D17" s="20" t="s">
        <v>94</v>
      </c>
      <c r="E17" s="21" t="s">
        <v>94</v>
      </c>
    </row>
    <row r="18" spans="1:5" ht="15" customHeight="1" x14ac:dyDescent="0.25">
      <c r="A18" s="72">
        <v>10</v>
      </c>
      <c r="B18" s="19" t="s">
        <v>95</v>
      </c>
      <c r="C18" s="20" t="s">
        <v>95</v>
      </c>
      <c r="D18" s="20" t="s">
        <v>95</v>
      </c>
      <c r="E18" s="21" t="s">
        <v>95</v>
      </c>
    </row>
    <row r="19" spans="1:5" ht="15" customHeight="1" x14ac:dyDescent="0.25">
      <c r="A19" s="72">
        <v>30</v>
      </c>
      <c r="B19" s="19" t="s">
        <v>96</v>
      </c>
      <c r="C19" s="20" t="s">
        <v>96</v>
      </c>
      <c r="D19" s="20" t="s">
        <v>96</v>
      </c>
      <c r="E19" s="21" t="s">
        <v>96</v>
      </c>
    </row>
    <row r="20" spans="1:5" ht="15" customHeight="1" x14ac:dyDescent="0.25">
      <c r="A20" s="72">
        <v>20</v>
      </c>
      <c r="B20" s="19" t="s">
        <v>97</v>
      </c>
      <c r="C20" s="20" t="s">
        <v>97</v>
      </c>
      <c r="D20" s="20" t="s">
        <v>97</v>
      </c>
      <c r="E20" s="21" t="s">
        <v>97</v>
      </c>
    </row>
    <row r="21" spans="1:5" ht="15" customHeight="1" x14ac:dyDescent="0.25">
      <c r="A21" s="72" t="s">
        <v>99</v>
      </c>
      <c r="B21" s="19" t="s">
        <v>98</v>
      </c>
      <c r="C21" s="20" t="s">
        <v>98</v>
      </c>
      <c r="D21" s="20" t="s">
        <v>98</v>
      </c>
      <c r="E21" s="21" t="s">
        <v>98</v>
      </c>
    </row>
    <row r="22" spans="1:5" ht="15" customHeight="1" x14ac:dyDescent="0.25">
      <c r="A22" s="72">
        <v>20</v>
      </c>
      <c r="B22" s="19" t="s">
        <v>100</v>
      </c>
      <c r="C22" s="20" t="s">
        <v>100</v>
      </c>
      <c r="D22" s="20" t="s">
        <v>100</v>
      </c>
      <c r="E22" s="21" t="s">
        <v>100</v>
      </c>
    </row>
    <row r="23" spans="1:5" ht="15" customHeight="1" x14ac:dyDescent="0.25">
      <c r="A23" s="72">
        <v>15</v>
      </c>
      <c r="B23" s="19" t="s">
        <v>101</v>
      </c>
      <c r="C23" s="20" t="s">
        <v>101</v>
      </c>
      <c r="D23" s="20" t="s">
        <v>101</v>
      </c>
      <c r="E23" s="21" t="s">
        <v>101</v>
      </c>
    </row>
    <row r="24" spans="1:5" ht="15" customHeight="1" x14ac:dyDescent="0.25">
      <c r="A24" s="72">
        <v>20</v>
      </c>
      <c r="B24" s="19" t="s">
        <v>102</v>
      </c>
      <c r="C24" s="20" t="s">
        <v>102</v>
      </c>
      <c r="D24" s="20" t="s">
        <v>102</v>
      </c>
      <c r="E24" s="21" t="s">
        <v>102</v>
      </c>
    </row>
    <row r="25" spans="1:5" ht="15" customHeight="1" x14ac:dyDescent="0.25">
      <c r="A25" s="73">
        <v>20</v>
      </c>
      <c r="B25" s="19" t="s">
        <v>103</v>
      </c>
      <c r="C25" s="20" t="s">
        <v>103</v>
      </c>
      <c r="D25" s="20" t="s">
        <v>103</v>
      </c>
      <c r="E25" s="21" t="s">
        <v>103</v>
      </c>
    </row>
    <row r="26" spans="1:5" ht="15" customHeight="1" x14ac:dyDescent="0.25">
      <c r="A26" s="73" t="s">
        <v>105</v>
      </c>
      <c r="B26" s="19" t="s">
        <v>104</v>
      </c>
      <c r="C26" s="20" t="s">
        <v>104</v>
      </c>
      <c r="D26" s="20" t="s">
        <v>104</v>
      </c>
      <c r="E26" s="21" t="s">
        <v>104</v>
      </c>
    </row>
    <row r="27" spans="1:5" ht="15" customHeight="1" x14ac:dyDescent="0.25">
      <c r="A27" s="73">
        <v>4</v>
      </c>
      <c r="B27" s="19" t="s">
        <v>106</v>
      </c>
      <c r="C27" s="20" t="s">
        <v>106</v>
      </c>
      <c r="D27" s="20" t="s">
        <v>106</v>
      </c>
      <c r="E27" s="21" t="s">
        <v>106</v>
      </c>
    </row>
    <row r="28" spans="1:5" ht="15" customHeight="1" x14ac:dyDescent="0.25">
      <c r="A28" s="73">
        <v>9</v>
      </c>
      <c r="B28" s="19" t="s">
        <v>107</v>
      </c>
      <c r="C28" s="20" t="s">
        <v>107</v>
      </c>
      <c r="D28" s="20" t="s">
        <v>107</v>
      </c>
      <c r="E28" s="21" t="s">
        <v>107</v>
      </c>
    </row>
    <row r="29" spans="1:5" ht="15" customHeight="1" x14ac:dyDescent="0.25">
      <c r="A29" s="73">
        <v>20</v>
      </c>
      <c r="B29" s="19" t="s">
        <v>108</v>
      </c>
      <c r="C29" s="20" t="s">
        <v>108</v>
      </c>
      <c r="D29" s="20" t="s">
        <v>108</v>
      </c>
      <c r="E29" s="21" t="s">
        <v>108</v>
      </c>
    </row>
    <row r="30" spans="1:5" ht="15" customHeight="1" x14ac:dyDescent="0.25">
      <c r="A30" s="73">
        <v>27</v>
      </c>
      <c r="B30" s="19" t="s">
        <v>109</v>
      </c>
      <c r="C30" s="20" t="s">
        <v>109</v>
      </c>
      <c r="D30" s="20" t="s">
        <v>109</v>
      </c>
      <c r="E30" s="21" t="s">
        <v>109</v>
      </c>
    </row>
    <row r="31" spans="1:5" ht="15" customHeight="1" x14ac:dyDescent="0.25">
      <c r="A31" s="73">
        <v>10</v>
      </c>
      <c r="B31" s="19" t="s">
        <v>110</v>
      </c>
      <c r="C31" s="20" t="s">
        <v>110</v>
      </c>
      <c r="D31" s="20" t="s">
        <v>110</v>
      </c>
      <c r="E31" s="21" t="s">
        <v>110</v>
      </c>
    </row>
    <row r="32" spans="1:5" ht="23.25" customHeight="1" x14ac:dyDescent="0.25">
      <c r="A32" s="73">
        <v>5</v>
      </c>
      <c r="B32" s="22" t="s">
        <v>111</v>
      </c>
      <c r="C32" s="63" t="s">
        <v>111</v>
      </c>
      <c r="D32" s="63" t="s">
        <v>111</v>
      </c>
      <c r="E32" s="64" t="s">
        <v>111</v>
      </c>
    </row>
    <row r="33" spans="1:5" ht="23.25" customHeight="1" x14ac:dyDescent="0.25">
      <c r="A33" s="73">
        <v>20</v>
      </c>
      <c r="B33" s="22" t="s">
        <v>112</v>
      </c>
      <c r="C33" s="63" t="s">
        <v>112</v>
      </c>
      <c r="D33" s="63" t="s">
        <v>112</v>
      </c>
      <c r="E33" s="64" t="s">
        <v>112</v>
      </c>
    </row>
    <row r="34" spans="1:5" ht="23.25" customHeight="1" x14ac:dyDescent="0.25">
      <c r="A34" s="73">
        <v>1</v>
      </c>
      <c r="B34" s="22" t="s">
        <v>117</v>
      </c>
      <c r="C34" s="63" t="s">
        <v>113</v>
      </c>
      <c r="D34" s="63" t="s">
        <v>113</v>
      </c>
      <c r="E34" s="64" t="s">
        <v>113</v>
      </c>
    </row>
    <row r="35" spans="1:5" ht="15" customHeight="1" x14ac:dyDescent="0.25">
      <c r="A35" s="73">
        <v>2</v>
      </c>
      <c r="B35" s="19" t="s">
        <v>114</v>
      </c>
      <c r="C35" s="20" t="s">
        <v>114</v>
      </c>
      <c r="D35" s="20" t="s">
        <v>114</v>
      </c>
      <c r="E35" s="21" t="s">
        <v>114</v>
      </c>
    </row>
    <row r="36" spans="1:5" ht="15" customHeight="1" x14ac:dyDescent="0.25">
      <c r="A36" s="15"/>
      <c r="B36" s="19"/>
      <c r="C36" s="20"/>
      <c r="D36" s="20"/>
      <c r="E36" s="21"/>
    </row>
    <row r="37" spans="1:5" ht="15" customHeight="1" x14ac:dyDescent="0.25">
      <c r="A37" s="15"/>
      <c r="B37" s="19"/>
      <c r="C37" s="20"/>
      <c r="D37" s="20"/>
      <c r="E37" s="21"/>
    </row>
    <row r="38" spans="1:5" ht="30" customHeight="1" x14ac:dyDescent="0.25">
      <c r="A38" s="15"/>
      <c r="B38" s="22"/>
      <c r="C38" s="63"/>
      <c r="D38" s="63"/>
      <c r="E38" s="64"/>
    </row>
    <row r="39" spans="1:5" ht="15" customHeight="1" x14ac:dyDescent="0.25">
      <c r="A39" s="8" t="s">
        <v>28</v>
      </c>
      <c r="B39" s="12" t="s">
        <v>73</v>
      </c>
      <c r="C39" s="46">
        <v>800000</v>
      </c>
      <c r="D39" s="47"/>
      <c r="E39" s="48"/>
    </row>
    <row r="40" spans="1:5" ht="15" customHeight="1" x14ac:dyDescent="0.25">
      <c r="A40" s="7" t="s">
        <v>10</v>
      </c>
      <c r="B40" s="27">
        <v>3</v>
      </c>
      <c r="C40" s="27"/>
      <c r="D40" s="27"/>
      <c r="E40" s="27"/>
    </row>
    <row r="41" spans="1:5" ht="15" customHeight="1" x14ac:dyDescent="0.25">
      <c r="A41" s="7" t="s">
        <v>11</v>
      </c>
      <c r="B41" s="5" t="s">
        <v>12</v>
      </c>
      <c r="C41" s="5" t="s">
        <v>84</v>
      </c>
      <c r="D41" s="5" t="s">
        <v>13</v>
      </c>
      <c r="E41" s="5"/>
    </row>
    <row r="42" spans="1:5" ht="29.25" customHeight="1" x14ac:dyDescent="0.25">
      <c r="A42" s="35"/>
      <c r="B42" s="36"/>
      <c r="C42" s="36"/>
      <c r="D42" s="36"/>
      <c r="E42" s="37"/>
    </row>
    <row r="43" spans="1:5" ht="15" customHeight="1" x14ac:dyDescent="0.25">
      <c r="A43" s="54"/>
      <c r="B43" s="55"/>
      <c r="C43" s="55"/>
      <c r="D43" s="55"/>
      <c r="E43" s="56"/>
    </row>
    <row r="44" spans="1:5" ht="3.75" customHeight="1" x14ac:dyDescent="0.25">
      <c r="A44" s="57"/>
      <c r="B44" s="58"/>
      <c r="C44" s="58"/>
      <c r="D44" s="58"/>
      <c r="E44" s="59"/>
    </row>
    <row r="45" spans="1:5" ht="14.25" hidden="1" customHeight="1" x14ac:dyDescent="0.25">
      <c r="A45" s="57"/>
      <c r="B45" s="58"/>
      <c r="C45" s="58"/>
      <c r="D45" s="58"/>
      <c r="E45" s="59"/>
    </row>
    <row r="46" spans="1:5" ht="68.25" hidden="1" customHeight="1" x14ac:dyDescent="0.25">
      <c r="A46" s="60"/>
      <c r="B46" s="61"/>
      <c r="C46" s="61"/>
      <c r="D46" s="61"/>
      <c r="E46" s="62"/>
    </row>
    <row r="47" spans="1:5" ht="28.5" customHeight="1" x14ac:dyDescent="0.35">
      <c r="A47" s="42" t="s">
        <v>14</v>
      </c>
      <c r="B47" s="42"/>
      <c r="C47" s="42"/>
      <c r="D47" s="42"/>
      <c r="E47" s="42"/>
    </row>
    <row r="48" spans="1:5" ht="15" customHeight="1" x14ac:dyDescent="0.25">
      <c r="A48" s="1" t="s">
        <v>15</v>
      </c>
      <c r="B48" s="27"/>
      <c r="C48" s="27"/>
      <c r="D48" s="27"/>
      <c r="E48" s="27"/>
    </row>
    <row r="49" spans="1:5" ht="15" customHeight="1" x14ac:dyDescent="0.25">
      <c r="A49" s="1" t="s">
        <v>16</v>
      </c>
      <c r="B49" s="27"/>
      <c r="C49" s="27"/>
      <c r="D49" s="27"/>
      <c r="E49" s="27"/>
    </row>
    <row r="50" spans="1:5" ht="15" customHeight="1" x14ac:dyDescent="0.25">
      <c r="A50" s="1" t="s">
        <v>17</v>
      </c>
      <c r="B50" s="27"/>
      <c r="C50" s="27"/>
      <c r="D50" s="27"/>
      <c r="E50" s="27"/>
    </row>
    <row r="51" spans="1:5" ht="15" customHeight="1" x14ac:dyDescent="0.25">
      <c r="A51" s="1" t="s">
        <v>18</v>
      </c>
      <c r="B51" s="27"/>
      <c r="C51" s="27"/>
      <c r="D51" s="27"/>
      <c r="E51" s="27"/>
    </row>
    <row r="52" spans="1:5" ht="15" customHeight="1" x14ac:dyDescent="0.25">
      <c r="A52" s="4" t="s">
        <v>19</v>
      </c>
      <c r="B52" s="41"/>
      <c r="C52" s="41"/>
      <c r="D52" s="41"/>
      <c r="E52" s="41"/>
    </row>
    <row r="53" spans="1:5" ht="15" customHeight="1" x14ac:dyDescent="0.25">
      <c r="A53" s="40"/>
      <c r="B53" s="40"/>
      <c r="C53" s="40"/>
      <c r="D53" s="40"/>
      <c r="E53" s="40"/>
    </row>
    <row r="54" spans="1:5" ht="15" customHeight="1" x14ac:dyDescent="0.25">
      <c r="A54" s="4" t="s">
        <v>20</v>
      </c>
      <c r="B54" s="27"/>
      <c r="C54" s="27"/>
      <c r="D54" s="27"/>
      <c r="E54" s="27"/>
    </row>
    <row r="55" spans="1:5" ht="15" customHeight="1" x14ac:dyDescent="0.25">
      <c r="A55" s="4" t="s">
        <v>21</v>
      </c>
      <c r="B55" s="27"/>
      <c r="C55" s="27"/>
      <c r="D55" s="27"/>
      <c r="E55" s="27"/>
    </row>
    <row r="56" spans="1:5" ht="15" customHeight="1" x14ac:dyDescent="0.25">
      <c r="A56" s="4" t="s">
        <v>22</v>
      </c>
      <c r="B56" s="27"/>
      <c r="C56" s="27"/>
      <c r="D56" s="27"/>
      <c r="E56" s="27"/>
    </row>
    <row r="57" spans="1:5" ht="15" customHeight="1" x14ac:dyDescent="0.25">
      <c r="A57" s="4" t="s">
        <v>23</v>
      </c>
      <c r="B57" s="27"/>
      <c r="C57" s="27"/>
      <c r="D57" s="27"/>
      <c r="E57" s="27"/>
    </row>
    <row r="58" spans="1:5" ht="15" customHeight="1" x14ac:dyDescent="0.25">
      <c r="A58" s="4" t="s">
        <v>24</v>
      </c>
      <c r="B58" s="27"/>
      <c r="C58" s="27"/>
      <c r="D58" s="27"/>
      <c r="E58" s="27"/>
    </row>
    <row r="59" spans="1:5" x14ac:dyDescent="0.25">
      <c r="A59" s="1"/>
      <c r="B59" s="1"/>
      <c r="C59" s="1"/>
      <c r="D59" s="1"/>
      <c r="E59" s="1"/>
    </row>
    <row r="60" spans="1:5" ht="21" x14ac:dyDescent="0.35">
      <c r="A60" s="42" t="s">
        <v>75</v>
      </c>
      <c r="B60" s="42"/>
      <c r="C60" s="42"/>
      <c r="D60" s="42"/>
      <c r="E60" s="42"/>
    </row>
    <row r="61" spans="1:5" ht="409.5" customHeight="1" x14ac:dyDescent="0.25">
      <c r="A61" s="43" t="s">
        <v>76</v>
      </c>
      <c r="B61" s="44"/>
      <c r="C61" s="44"/>
      <c r="D61" s="44"/>
      <c r="E61" s="45"/>
    </row>
    <row r="62" spans="1:5" ht="21" x14ac:dyDescent="0.35">
      <c r="A62" s="23" t="s">
        <v>78</v>
      </c>
      <c r="B62" s="24"/>
      <c r="C62" s="24"/>
      <c r="D62" s="24"/>
      <c r="E62" s="25"/>
    </row>
    <row r="63" spans="1:5" x14ac:dyDescent="0.25">
      <c r="A63" s="26" t="s">
        <v>25</v>
      </c>
      <c r="B63" s="26"/>
      <c r="C63" s="26"/>
      <c r="D63" s="26"/>
      <c r="E63" s="26"/>
    </row>
    <row r="64" spans="1:5" x14ac:dyDescent="0.25">
      <c r="A64" s="26" t="s">
        <v>26</v>
      </c>
      <c r="B64" s="26"/>
      <c r="C64" s="26"/>
      <c r="D64" s="26"/>
      <c r="E64" s="26"/>
    </row>
    <row r="65" spans="1:5" x14ac:dyDescent="0.25">
      <c r="A65" s="26" t="s">
        <v>27</v>
      </c>
      <c r="B65" s="26"/>
      <c r="C65" s="26"/>
      <c r="D65" s="26"/>
      <c r="E65" s="26"/>
    </row>
    <row r="66" spans="1:5" x14ac:dyDescent="0.25">
      <c r="A66" s="26" t="s">
        <v>83</v>
      </c>
      <c r="B66" s="26"/>
      <c r="C66" s="26"/>
      <c r="D66" s="26"/>
      <c r="E66" s="26"/>
    </row>
    <row r="67" spans="1:5" x14ac:dyDescent="0.25">
      <c r="A67" s="26" t="s">
        <v>74</v>
      </c>
      <c r="B67" s="26"/>
      <c r="C67" s="26"/>
      <c r="D67" s="26"/>
      <c r="E67" s="26"/>
    </row>
    <row r="68" spans="1:5" ht="21" x14ac:dyDescent="0.35">
      <c r="A68" s="23" t="s">
        <v>79</v>
      </c>
      <c r="B68" s="24"/>
      <c r="C68" s="24"/>
      <c r="D68" s="24"/>
      <c r="E68" s="25"/>
    </row>
    <row r="69" spans="1:5" ht="30" x14ac:dyDescent="0.25">
      <c r="A69" s="13" t="s">
        <v>80</v>
      </c>
      <c r="B69" s="14" t="s">
        <v>12</v>
      </c>
      <c r="C69" s="14"/>
      <c r="D69" s="14" t="s">
        <v>13</v>
      </c>
      <c r="E69" s="5"/>
    </row>
    <row r="70" spans="1:5" ht="30" x14ac:dyDescent="0.25">
      <c r="A70" s="13" t="s">
        <v>81</v>
      </c>
      <c r="B70" s="14" t="s">
        <v>12</v>
      </c>
      <c r="C70" s="14"/>
      <c r="D70" s="14" t="s">
        <v>13</v>
      </c>
      <c r="E70" s="5"/>
    </row>
    <row r="71" spans="1:5" ht="45" x14ac:dyDescent="0.25">
      <c r="A71" s="13" t="s">
        <v>82</v>
      </c>
      <c r="B71" s="14" t="s">
        <v>12</v>
      </c>
      <c r="C71" s="14"/>
      <c r="D71" s="14" t="s">
        <v>13</v>
      </c>
      <c r="E71" s="5"/>
    </row>
  </sheetData>
  <mergeCells count="60">
    <mergeCell ref="B40:E40"/>
    <mergeCell ref="B49:E49"/>
    <mergeCell ref="C39:E39"/>
    <mergeCell ref="B13:E13"/>
    <mergeCell ref="B14:E14"/>
    <mergeCell ref="A43:E46"/>
    <mergeCell ref="A42:E42"/>
    <mergeCell ref="B15:E15"/>
    <mergeCell ref="B16:E16"/>
    <mergeCell ref="B24:E24"/>
    <mergeCell ref="B25:E25"/>
    <mergeCell ref="B26:E26"/>
    <mergeCell ref="B38:E38"/>
    <mergeCell ref="B17:E17"/>
    <mergeCell ref="B18:E18"/>
    <mergeCell ref="B32:E32"/>
    <mergeCell ref="B50:E50"/>
    <mergeCell ref="B51:E51"/>
    <mergeCell ref="B52:E52"/>
    <mergeCell ref="A47:E47"/>
    <mergeCell ref="A63:E63"/>
    <mergeCell ref="B48:E48"/>
    <mergeCell ref="B56:E56"/>
    <mergeCell ref="B57:E57"/>
    <mergeCell ref="B58:E58"/>
    <mergeCell ref="B54:E54"/>
    <mergeCell ref="A62:E62"/>
    <mergeCell ref="A60:E60"/>
    <mergeCell ref="A61:E61"/>
    <mergeCell ref="A68:E68"/>
    <mergeCell ref="A66:E66"/>
    <mergeCell ref="A67:E67"/>
    <mergeCell ref="A1:A5"/>
    <mergeCell ref="B1:E5"/>
    <mergeCell ref="A11:E11"/>
    <mergeCell ref="A12:E12"/>
    <mergeCell ref="A6:E6"/>
    <mergeCell ref="B9:E9"/>
    <mergeCell ref="B10:E10"/>
    <mergeCell ref="B7:E7"/>
    <mergeCell ref="B8:E8"/>
    <mergeCell ref="A64:E64"/>
    <mergeCell ref="A65:E65"/>
    <mergeCell ref="A53:E53"/>
    <mergeCell ref="B55:E55"/>
    <mergeCell ref="B36:E36"/>
    <mergeCell ref="B37:E37"/>
    <mergeCell ref="B19:E19"/>
    <mergeCell ref="B29:E29"/>
    <mergeCell ref="B30:E30"/>
    <mergeCell ref="B33:E33"/>
    <mergeCell ref="B34:E34"/>
    <mergeCell ref="B35:E35"/>
    <mergeCell ref="B20:E20"/>
    <mergeCell ref="B21:E21"/>
    <mergeCell ref="B22:E22"/>
    <mergeCell ref="B27:E27"/>
    <mergeCell ref="B28:E28"/>
    <mergeCell ref="B23:E23"/>
    <mergeCell ref="B31:E31"/>
  </mergeCells>
  <phoneticPr fontId="14" type="noConversion"/>
  <pageMargins left="0.70866141732283472" right="0.70866141732283472" top="0.74803149606299213" bottom="0.74803149606299213" header="0.31496062992125984" footer="0.31496062992125984"/>
  <pageSetup paperSize="120" scale="74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DATOS!$A$2:$A$44</xm:f>
          </x14:formula1>
          <xm:sqref>B8:E8</xm:sqref>
        </x14:dataValidation>
        <x14:dataValidation type="list" allowBlank="1" showInputMessage="1" showErrorMessage="1" xr:uid="{00000000-0002-0000-0000-000001000000}">
          <x14:formula1>
            <xm:f>DATOS!$C$3:$C$4</xm:f>
          </x14:formula1>
          <xm:sqref>B39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9"/>
  <sheetViews>
    <sheetView topLeftCell="A18" workbookViewId="0">
      <selection activeCell="B33" sqref="B33"/>
    </sheetView>
  </sheetViews>
  <sheetFormatPr baseColWidth="10" defaultRowHeight="15" x14ac:dyDescent="0.25"/>
  <cols>
    <col min="2" max="2" width="56.5703125" bestFit="1" customWidth="1"/>
    <col min="6" max="6" width="33.7109375" customWidth="1"/>
  </cols>
  <sheetData>
    <row r="1" spans="2:9" x14ac:dyDescent="0.25">
      <c r="I1" s="16"/>
    </row>
    <row r="2" spans="2:9" x14ac:dyDescent="0.25">
      <c r="B2" s="17" t="s">
        <v>87</v>
      </c>
      <c r="D2" s="65"/>
    </row>
    <row r="3" spans="2:9" ht="15.75" thickBot="1" x14ac:dyDescent="0.3"/>
    <row r="4" spans="2:9" ht="23.25" thickBot="1" x14ac:dyDescent="0.35">
      <c r="B4" s="66" t="s">
        <v>88</v>
      </c>
      <c r="C4" s="67"/>
      <c r="F4" s="16">
        <v>0.19</v>
      </c>
    </row>
    <row r="5" spans="2:9" ht="18.75" x14ac:dyDescent="0.3">
      <c r="B5" s="68" t="s">
        <v>89</v>
      </c>
      <c r="C5" s="69" t="s">
        <v>8</v>
      </c>
      <c r="D5" s="70" t="s">
        <v>90</v>
      </c>
      <c r="E5" s="70" t="s">
        <v>91</v>
      </c>
    </row>
    <row r="6" spans="2:9" x14ac:dyDescent="0.25">
      <c r="B6" s="71" t="s">
        <v>92</v>
      </c>
      <c r="C6" s="72">
        <v>50</v>
      </c>
      <c r="D6" s="18">
        <v>2840</v>
      </c>
      <c r="E6" s="18">
        <f>D6*C6</f>
        <v>142000</v>
      </c>
    </row>
    <row r="7" spans="2:9" x14ac:dyDescent="0.25">
      <c r="B7" s="71" t="s">
        <v>93</v>
      </c>
      <c r="C7" s="72">
        <v>70</v>
      </c>
      <c r="D7" s="18">
        <v>2350</v>
      </c>
      <c r="E7" s="18">
        <f t="shared" ref="E7:E26" si="0">D7*C7</f>
        <v>164500</v>
      </c>
    </row>
    <row r="8" spans="2:9" x14ac:dyDescent="0.25">
      <c r="B8" s="71" t="s">
        <v>94</v>
      </c>
      <c r="C8" s="72">
        <v>20</v>
      </c>
      <c r="D8" s="18">
        <v>500</v>
      </c>
      <c r="E8" s="18">
        <f t="shared" si="0"/>
        <v>10000</v>
      </c>
    </row>
    <row r="9" spans="2:9" x14ac:dyDescent="0.25">
      <c r="B9" s="71" t="s">
        <v>95</v>
      </c>
      <c r="C9" s="72">
        <v>10</v>
      </c>
      <c r="D9" s="18">
        <v>1415</v>
      </c>
      <c r="E9" s="18">
        <f t="shared" si="0"/>
        <v>14150</v>
      </c>
    </row>
    <row r="10" spans="2:9" x14ac:dyDescent="0.25">
      <c r="B10" s="71" t="s">
        <v>96</v>
      </c>
      <c r="C10" s="72">
        <v>30</v>
      </c>
      <c r="D10" s="18">
        <v>374</v>
      </c>
      <c r="E10" s="18">
        <f t="shared" si="0"/>
        <v>11220</v>
      </c>
    </row>
    <row r="11" spans="2:9" x14ac:dyDescent="0.25">
      <c r="B11" s="71" t="s">
        <v>97</v>
      </c>
      <c r="C11" s="72">
        <v>20</v>
      </c>
      <c r="D11" s="18">
        <v>691</v>
      </c>
      <c r="E11" s="18">
        <f t="shared" si="0"/>
        <v>13820</v>
      </c>
    </row>
    <row r="12" spans="2:9" x14ac:dyDescent="0.25">
      <c r="B12" s="71" t="s">
        <v>98</v>
      </c>
      <c r="C12" s="72" t="s">
        <v>99</v>
      </c>
      <c r="D12" s="18">
        <v>661</v>
      </c>
      <c r="E12" s="18">
        <f>D12*1</f>
        <v>661</v>
      </c>
    </row>
    <row r="13" spans="2:9" x14ac:dyDescent="0.25">
      <c r="B13" s="71" t="s">
        <v>100</v>
      </c>
      <c r="C13" s="72">
        <v>20</v>
      </c>
      <c r="D13" s="18">
        <v>301</v>
      </c>
      <c r="E13" s="18">
        <f t="shared" si="0"/>
        <v>6020</v>
      </c>
    </row>
    <row r="14" spans="2:9" x14ac:dyDescent="0.25">
      <c r="B14" s="71" t="s">
        <v>101</v>
      </c>
      <c r="C14" s="72">
        <v>15</v>
      </c>
      <c r="D14" s="18">
        <v>802</v>
      </c>
      <c r="E14" s="18">
        <f t="shared" si="0"/>
        <v>12030</v>
      </c>
    </row>
    <row r="15" spans="2:9" x14ac:dyDescent="0.25">
      <c r="B15" s="71" t="s">
        <v>102</v>
      </c>
      <c r="C15" s="72">
        <v>20</v>
      </c>
      <c r="D15" s="18">
        <v>802</v>
      </c>
      <c r="E15" s="18">
        <f t="shared" si="0"/>
        <v>16040</v>
      </c>
    </row>
    <row r="16" spans="2:9" x14ac:dyDescent="0.25">
      <c r="B16" s="1" t="s">
        <v>103</v>
      </c>
      <c r="C16" s="73">
        <v>20</v>
      </c>
      <c r="D16" s="18">
        <v>790</v>
      </c>
      <c r="E16" s="18">
        <f t="shared" si="0"/>
        <v>15800</v>
      </c>
    </row>
    <row r="17" spans="2:5" x14ac:dyDescent="0.25">
      <c r="B17" s="1" t="s">
        <v>104</v>
      </c>
      <c r="C17" s="73" t="s">
        <v>105</v>
      </c>
      <c r="D17" s="18">
        <v>253</v>
      </c>
      <c r="E17" s="18">
        <f>D17*30</f>
        <v>7590</v>
      </c>
    </row>
    <row r="18" spans="2:5" x14ac:dyDescent="0.25">
      <c r="B18" s="1" t="s">
        <v>106</v>
      </c>
      <c r="C18" s="73">
        <v>4</v>
      </c>
      <c r="D18" s="18">
        <v>2094</v>
      </c>
      <c r="E18" s="18">
        <f t="shared" si="0"/>
        <v>8376</v>
      </c>
    </row>
    <row r="19" spans="2:5" x14ac:dyDescent="0.25">
      <c r="B19" s="1" t="s">
        <v>107</v>
      </c>
      <c r="C19" s="73">
        <v>9</v>
      </c>
      <c r="D19" s="18">
        <v>1169</v>
      </c>
      <c r="E19" s="18">
        <f t="shared" si="0"/>
        <v>10521</v>
      </c>
    </row>
    <row r="20" spans="2:5" x14ac:dyDescent="0.25">
      <c r="B20" s="1" t="s">
        <v>108</v>
      </c>
      <c r="C20" s="73">
        <v>20</v>
      </c>
      <c r="D20" s="18">
        <v>1980</v>
      </c>
      <c r="E20" s="18">
        <f t="shared" si="0"/>
        <v>39600</v>
      </c>
    </row>
    <row r="21" spans="2:5" x14ac:dyDescent="0.25">
      <c r="B21" s="1" t="s">
        <v>109</v>
      </c>
      <c r="C21" s="73">
        <v>27</v>
      </c>
      <c r="D21" s="18">
        <v>277</v>
      </c>
      <c r="E21" s="18">
        <f t="shared" si="0"/>
        <v>7479</v>
      </c>
    </row>
    <row r="22" spans="2:5" x14ac:dyDescent="0.25">
      <c r="B22" s="1" t="s">
        <v>110</v>
      </c>
      <c r="C22" s="73">
        <v>10</v>
      </c>
      <c r="D22" s="18">
        <v>277</v>
      </c>
      <c r="E22" s="18">
        <f t="shared" si="0"/>
        <v>2770</v>
      </c>
    </row>
    <row r="23" spans="2:5" x14ac:dyDescent="0.25">
      <c r="B23" s="1" t="s">
        <v>111</v>
      </c>
      <c r="C23" s="73">
        <v>5</v>
      </c>
      <c r="D23" s="18">
        <v>277</v>
      </c>
      <c r="E23" s="18">
        <f t="shared" si="0"/>
        <v>1385</v>
      </c>
    </row>
    <row r="24" spans="2:5" x14ac:dyDescent="0.25">
      <c r="B24" s="1" t="s">
        <v>112</v>
      </c>
      <c r="C24" s="73">
        <v>20</v>
      </c>
      <c r="D24" s="18">
        <v>749</v>
      </c>
      <c r="E24" s="18">
        <f t="shared" si="0"/>
        <v>14980</v>
      </c>
    </row>
    <row r="25" spans="2:5" x14ac:dyDescent="0.25">
      <c r="B25" s="1" t="s">
        <v>113</v>
      </c>
      <c r="C25" s="73">
        <v>1</v>
      </c>
      <c r="D25" s="74">
        <v>150447</v>
      </c>
      <c r="E25" s="74">
        <f t="shared" si="0"/>
        <v>150447</v>
      </c>
    </row>
    <row r="26" spans="2:5" ht="15.75" thickBot="1" x14ac:dyDescent="0.3">
      <c r="B26" s="1" t="s">
        <v>114</v>
      </c>
      <c r="C26" s="73">
        <v>2</v>
      </c>
      <c r="D26" s="74">
        <v>2895</v>
      </c>
      <c r="E26" s="74">
        <f t="shared" si="0"/>
        <v>5790</v>
      </c>
    </row>
    <row r="27" spans="2:5" x14ac:dyDescent="0.25">
      <c r="D27" s="75" t="s">
        <v>115</v>
      </c>
      <c r="E27" s="76">
        <f>SUM(E6:E26)</f>
        <v>655179</v>
      </c>
    </row>
    <row r="28" spans="2:5" x14ac:dyDescent="0.25">
      <c r="D28" s="77" t="s">
        <v>116</v>
      </c>
      <c r="E28" s="78">
        <f>E27*F4</f>
        <v>124484.01</v>
      </c>
    </row>
    <row r="29" spans="2:5" ht="15.75" thickBot="1" x14ac:dyDescent="0.3">
      <c r="D29" s="79" t="s">
        <v>91</v>
      </c>
      <c r="E29" s="80">
        <f>SUM(E27:E28)</f>
        <v>779663.01</v>
      </c>
    </row>
  </sheetData>
  <pageMargins left="0.70866141732283472" right="0.70866141732283472" top="0.74803149606299213" bottom="0.74803149606299213" header="0.31496062992125984" footer="0.31496062992125984"/>
  <pageSetup scale="80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44"/>
  <sheetViews>
    <sheetView showGridLines="0" workbookViewId="0">
      <selection activeCell="D4" sqref="D4"/>
    </sheetView>
  </sheetViews>
  <sheetFormatPr baseColWidth="10" defaultRowHeight="15" x14ac:dyDescent="0.25"/>
  <cols>
    <col min="1" max="1" width="51.42578125" bestFit="1" customWidth="1"/>
  </cols>
  <sheetData>
    <row r="2" spans="1:3" ht="15.75" x14ac:dyDescent="0.25">
      <c r="A2" s="10" t="s">
        <v>3</v>
      </c>
      <c r="C2" s="10" t="s">
        <v>71</v>
      </c>
    </row>
    <row r="3" spans="1:3" x14ac:dyDescent="0.25">
      <c r="A3" s="11" t="s">
        <v>29</v>
      </c>
      <c r="C3" s="11" t="s">
        <v>72</v>
      </c>
    </row>
    <row r="4" spans="1:3" x14ac:dyDescent="0.25">
      <c r="A4" s="11" t="s">
        <v>30</v>
      </c>
      <c r="C4" s="11" t="s">
        <v>73</v>
      </c>
    </row>
    <row r="5" spans="1:3" x14ac:dyDescent="0.25">
      <c r="A5" s="11" t="s">
        <v>31</v>
      </c>
    </row>
    <row r="6" spans="1:3" x14ac:dyDescent="0.25">
      <c r="A6" s="11" t="s">
        <v>32</v>
      </c>
    </row>
    <row r="7" spans="1:3" x14ac:dyDescent="0.25">
      <c r="A7" s="11" t="s">
        <v>33</v>
      </c>
    </row>
    <row r="8" spans="1:3" x14ac:dyDescent="0.25">
      <c r="A8" s="11" t="s">
        <v>34</v>
      </c>
    </row>
    <row r="9" spans="1:3" x14ac:dyDescent="0.25">
      <c r="A9" s="11" t="s">
        <v>35</v>
      </c>
    </row>
    <row r="10" spans="1:3" x14ac:dyDescent="0.25">
      <c r="A10" s="11" t="s">
        <v>36</v>
      </c>
    </row>
    <row r="11" spans="1:3" x14ac:dyDescent="0.25">
      <c r="A11" s="11" t="s">
        <v>37</v>
      </c>
    </row>
    <row r="12" spans="1:3" x14ac:dyDescent="0.25">
      <c r="A12" s="11" t="s">
        <v>38</v>
      </c>
    </row>
    <row r="13" spans="1:3" x14ac:dyDescent="0.25">
      <c r="A13" s="11" t="s">
        <v>39</v>
      </c>
    </row>
    <row r="14" spans="1:3" x14ac:dyDescent="0.25">
      <c r="A14" s="11" t="s">
        <v>40</v>
      </c>
    </row>
    <row r="15" spans="1:3" x14ac:dyDescent="0.25">
      <c r="A15" s="11" t="s">
        <v>41</v>
      </c>
    </row>
    <row r="16" spans="1:3" x14ac:dyDescent="0.25">
      <c r="A16" s="11" t="s">
        <v>42</v>
      </c>
    </row>
    <row r="17" spans="1:1" x14ac:dyDescent="0.25">
      <c r="A17" s="11" t="s">
        <v>43</v>
      </c>
    </row>
    <row r="18" spans="1:1" x14ac:dyDescent="0.25">
      <c r="A18" s="11" t="s">
        <v>44</v>
      </c>
    </row>
    <row r="19" spans="1:1" x14ac:dyDescent="0.25">
      <c r="A19" s="11" t="s">
        <v>45</v>
      </c>
    </row>
    <row r="20" spans="1:1" x14ac:dyDescent="0.25">
      <c r="A20" s="11" t="s">
        <v>46</v>
      </c>
    </row>
    <row r="21" spans="1:1" x14ac:dyDescent="0.25">
      <c r="A21" s="11" t="s">
        <v>47</v>
      </c>
    </row>
    <row r="22" spans="1:1" x14ac:dyDescent="0.25">
      <c r="A22" s="11" t="s">
        <v>48</v>
      </c>
    </row>
    <row r="23" spans="1:1" x14ac:dyDescent="0.25">
      <c r="A23" s="11" t="s">
        <v>49</v>
      </c>
    </row>
    <row r="24" spans="1:1" x14ac:dyDescent="0.25">
      <c r="A24" s="11" t="s">
        <v>50</v>
      </c>
    </row>
    <row r="25" spans="1:1" x14ac:dyDescent="0.25">
      <c r="A25" s="11" t="s">
        <v>51</v>
      </c>
    </row>
    <row r="26" spans="1:1" x14ac:dyDescent="0.25">
      <c r="A26" s="11" t="s">
        <v>52</v>
      </c>
    </row>
    <row r="27" spans="1:1" x14ac:dyDescent="0.25">
      <c r="A27" s="11" t="s">
        <v>53</v>
      </c>
    </row>
    <row r="28" spans="1:1" x14ac:dyDescent="0.25">
      <c r="A28" s="11" t="s">
        <v>54</v>
      </c>
    </row>
    <row r="29" spans="1:1" x14ac:dyDescent="0.25">
      <c r="A29" s="11" t="s">
        <v>55</v>
      </c>
    </row>
    <row r="30" spans="1:1" x14ac:dyDescent="0.25">
      <c r="A30" s="11" t="s">
        <v>56</v>
      </c>
    </row>
    <row r="31" spans="1:1" x14ac:dyDescent="0.25">
      <c r="A31" s="11" t="s">
        <v>57</v>
      </c>
    </row>
    <row r="32" spans="1:1" x14ac:dyDescent="0.25">
      <c r="A32" s="11" t="s">
        <v>58</v>
      </c>
    </row>
    <row r="33" spans="1:1" x14ac:dyDescent="0.25">
      <c r="A33" s="11" t="s">
        <v>59</v>
      </c>
    </row>
    <row r="34" spans="1:1" x14ac:dyDescent="0.25">
      <c r="A34" s="11" t="s">
        <v>60</v>
      </c>
    </row>
    <row r="35" spans="1:1" x14ac:dyDescent="0.25">
      <c r="A35" s="11" t="s">
        <v>61</v>
      </c>
    </row>
    <row r="36" spans="1:1" x14ac:dyDescent="0.25">
      <c r="A36" s="11" t="s">
        <v>62</v>
      </c>
    </row>
    <row r="37" spans="1:1" x14ac:dyDescent="0.25">
      <c r="A37" s="11" t="s">
        <v>63</v>
      </c>
    </row>
    <row r="38" spans="1:1" x14ac:dyDescent="0.25">
      <c r="A38" s="11" t="s">
        <v>64</v>
      </c>
    </row>
    <row r="39" spans="1:1" x14ac:dyDescent="0.25">
      <c r="A39" s="11" t="s">
        <v>65</v>
      </c>
    </row>
    <row r="40" spans="1:1" x14ac:dyDescent="0.25">
      <c r="A40" s="11" t="s">
        <v>66</v>
      </c>
    </row>
    <row r="41" spans="1:1" x14ac:dyDescent="0.25">
      <c r="A41" s="11" t="s">
        <v>67</v>
      </c>
    </row>
    <row r="42" spans="1:1" x14ac:dyDescent="0.25">
      <c r="A42" s="11" t="s">
        <v>68</v>
      </c>
    </row>
    <row r="43" spans="1:1" x14ac:dyDescent="0.25">
      <c r="A43" s="11" t="s">
        <v>69</v>
      </c>
    </row>
    <row r="44" spans="1:1" x14ac:dyDescent="0.25">
      <c r="A44" s="11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9999004865424499CB28D3BA6163D7" ma:contentTypeVersion="16" ma:contentTypeDescription="Crear nuevo documento." ma:contentTypeScope="" ma:versionID="e69e52acdd20edfd17509cbd3e6c623a">
  <xsd:schema xmlns:xsd="http://www.w3.org/2001/XMLSchema" xmlns:xs="http://www.w3.org/2001/XMLSchema" xmlns:p="http://schemas.microsoft.com/office/2006/metadata/properties" xmlns:ns2="41006cde-2921-45c3-a4a6-561205f47761" xmlns:ns3="6f395309-8d3a-4624-98a9-047e3ff2b835" targetNamespace="http://schemas.microsoft.com/office/2006/metadata/properties" ma:root="true" ma:fieldsID="e4dd65363162b730672acbc23fdea387" ns2:_="" ns3:_="">
    <xsd:import namespace="41006cde-2921-45c3-a4a6-561205f47761"/>
    <xsd:import namespace="6f395309-8d3a-4624-98a9-047e3ff2b8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06cde-2921-45c3-a4a6-561205f477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698315f-6291-4ab8-98ab-e5a0f08321c6}" ma:internalName="TaxCatchAll" ma:showField="CatchAllData" ma:web="41006cde-2921-45c3-a4a6-561205f477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95309-8d3a-4624-98a9-047e3ff2b8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49566801-6e81-42a1-9190-56386c894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395309-8d3a-4624-98a9-047e3ff2b835">
      <Terms xmlns="http://schemas.microsoft.com/office/infopath/2007/PartnerControls"/>
    </lcf76f155ced4ddcb4097134ff3c332f>
    <TaxCatchAll xmlns="41006cde-2921-45c3-a4a6-561205f4776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160B84-C9F8-4F92-9ACF-8ECDEB181810}"/>
</file>

<file path=customXml/itemProps2.xml><?xml version="1.0" encoding="utf-8"?>
<ds:datastoreItem xmlns:ds="http://schemas.openxmlformats.org/officeDocument/2006/customXml" ds:itemID="{59E86D35-E11D-4D79-9A8F-3409C4B51E56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d2fd5317-f06e-4e32-854c-f92f9125396d"/>
    <ds:schemaRef ds:uri="http://purl.org/dc/terms/"/>
    <ds:schemaRef ds:uri="http://www.w3.org/XML/1998/namespace"/>
    <ds:schemaRef ds:uri="25d87e28-7f5f-4cef-84f1-95df68443d85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44E3AF53-62C1-4CC5-AC16-1007E1974F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DATOS</vt:lpstr>
    </vt:vector>
  </TitlesOfParts>
  <Manager/>
  <Company>INE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Equipo</dc:creator>
  <cp:keywords/>
  <dc:description/>
  <cp:lastModifiedBy>Maria Angelica Salamia Rojas</cp:lastModifiedBy>
  <cp:revision/>
  <cp:lastPrinted>2025-02-24T16:34:04Z</cp:lastPrinted>
  <dcterms:created xsi:type="dcterms:W3CDTF">2020-07-20T22:44:15Z</dcterms:created>
  <dcterms:modified xsi:type="dcterms:W3CDTF">2026-07-03T14:41:49Z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0x0101007B9999004865424499CB28D3BA6163D7</vt:lpwstr>
  </property>
  <property fmtid="{D5CDD505-2E9C-101B-9397-08002B2CF9AE}" pid="3" name="MediaServiceImageTags">
    <vt:lpwstr/>
  </property>
</Properties>
</file>