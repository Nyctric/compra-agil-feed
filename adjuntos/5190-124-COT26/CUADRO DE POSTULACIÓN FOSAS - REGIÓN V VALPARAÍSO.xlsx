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jdelacruza\Downloads\"/>
    </mc:Choice>
  </mc:AlternateContent>
  <xr:revisionPtr revIDLastSave="0" documentId="8_{D269D2AA-C953-4840-925C-26989B6052ED}" xr6:coauthVersionLast="47" xr6:coauthVersionMax="47" xr10:uidLastSave="{00000000-0000-0000-0000-000000000000}"/>
  <bookViews>
    <workbookView xWindow="-27360" yWindow="2100" windowWidth="25680" windowHeight="13605" firstSheet="1" activeTab="1" xr2:uid="{6DEE99AC-9AED-42D4-8467-8EE2DDFB41B9}"/>
  </bookViews>
  <sheets>
    <sheet name="REGIÓN IV-COQUIMBO" sheetId="6" state="hidden" r:id="rId1"/>
    <sheet name="FOSAS Y CAMARAS" sheetId="7" r:id="rId2"/>
    <sheet name="REGIÓN V-VALPARAÍSO" sheetId="3" state="hidden" r:id="rId3"/>
    <sheet name="REGIÓN XIIII-METROPOLITANA" sheetId="2" state="hidden" r:id="rId4"/>
    <sheet name="REGIÓN XVI-ÑUBLE" sheetId="4" state="hidden" r:id="rId5"/>
    <sheet name="REGIÓN X-LOS LAGOS" sheetId="5" state="hidden" r:id="rId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1" i="7" l="1"/>
  <c r="H10" i="7"/>
  <c r="H9" i="7"/>
  <c r="H8" i="7"/>
  <c r="H11" i="6"/>
  <c r="H10" i="6"/>
  <c r="G8" i="6"/>
  <c r="D8" i="5"/>
  <c r="D8" i="4"/>
  <c r="E9" i="3"/>
  <c r="E8" i="3"/>
  <c r="E10" i="3" l="1"/>
</calcChain>
</file>

<file path=xl/sharedStrings.xml><?xml version="1.0" encoding="utf-8"?>
<sst xmlns="http://schemas.openxmlformats.org/spreadsheetml/2006/main" count="178" uniqueCount="82">
  <si>
    <t>CUADRO DE POSTULACIÓN</t>
  </si>
  <si>
    <t xml:space="preserve">ITEM </t>
  </si>
  <si>
    <t>REQUERIMIENTO/DESCRIPCIÓN DEL SERVICIO</t>
  </si>
  <si>
    <t>* ESTE CUADRO DE POSTULACIÓN DEBERÁ SER LLENADO OBLIGATORIAMENTE POR EL PROVEEDOR, INDICANDO EL PRECIO POR EL SERVICIO REQUERIDO( CON Y SIN IVA INCLUIDO), DE NO ACEPTAR EL TOTAL DE LO REQUERIDO EN ESTA SOLICITUD, PODRÁN DECLARARSE INADMISIBLES LAS OFERTAS.</t>
  </si>
  <si>
    <t>CANTIDAD TOTAL REQUERIDA</t>
  </si>
  <si>
    <t>OBSERVACIONES</t>
  </si>
  <si>
    <t xml:space="preserve">TODOS LOS TRABAJADORES DEBEN SEGUIR CON EL PROCEDIMIENTO DE TRABAJO SEGURO Y ELEMENTOS DE PROTECCIÓN PERSONAL. </t>
  </si>
  <si>
    <t>VALOR UNITARIO POR FOSA SÉPTICA CON IVA INCLUIDO</t>
  </si>
  <si>
    <t>VALOR TOTAL POR 3 FOSAS SÉPTICAS CON IVA INCLUIDO</t>
  </si>
  <si>
    <t xml:space="preserve">DISTRIBUCIÓN DE VIAJES PARA LIMPIEZA DE FOSAS. TODOS LOS TRABAJADORES DEBEN SEGUIR CON EL PROCEDIMIENTO DE TRABAJO SEGURO Y ELEMENTOS DE PROTECCIÓN PERSONAL. </t>
  </si>
  <si>
    <t>LIMPIEZA DE FOSAS SÉPTICAS Y DESGRASADORAS DE LOS CENTROS RECREACIONALES-LA CASONA, VILLASOL Y SAN SEBASTIÁN-Región de Valparaíso</t>
  </si>
  <si>
    <t>PRESUPUESTO TOTAL $2.023.000 (DOS MILLONES VEINTITRES MIL PESOS)</t>
  </si>
  <si>
    <t>CENTRO RECREACIONAL</t>
  </si>
  <si>
    <t>LA CASONA-PAPUDO</t>
  </si>
  <si>
    <t xml:space="preserve">Limpieza de 1 (una) cámara desgrasadora de 2x1x1.3 mts de profundidad. El trabajo debe incluir la extracción completa de rile, lodos y grasas acumuladas. Además de asegurar la limpieza total de los ductos de entrada y salida de las cámaras desgrasadoras. Por último, debe contar con resolución sanitaria al día y acreditación sanitaria vigente. </t>
  </si>
  <si>
    <t>VILLASOL-OLMUÉ</t>
  </si>
  <si>
    <t>SAN SEBASTIÁN-CARTAGENA</t>
  </si>
  <si>
    <t xml:space="preserve">Limpieza de 2 (dos) cámaras desgrasadoras rectangulares interiores de aluminio, de dimensiones de 0.35x0.50x0.30 mts de profundidad y 01 (una) cámara desgrasadora exterior redonda de 0.50 mts de diámetro y 0.50 mts de profundidad. El trabajo debe incluir la extracción completa de rile, lodos y grasas acumuladas. Además de asegurar la limpieza total de los ductos de entrada y salida de las cámaras desgrasadoras. Por último, debe contar con resolución sanitaria al día y acreditación sanitaria vigente. </t>
  </si>
  <si>
    <t xml:space="preserve">Limpieza de 2 (dos) cámaras desgrasadoras de 3,5 m3 cada una. El trabajo debe incluir la extracción completa de rile, lodos y grasas acumuladas. Además de asegurar la limpieza total de los ductos de entrada y salida de las cámaras desgrasadoras. Por último, debe contar con resolución sanitaria al día y acreditación sanitaria vigente. </t>
  </si>
  <si>
    <t>LIMPIEZA DE FOSAS SÉPTICAS Y DESGRASADORAS DEL CENTRO RECREACIONAL PEUMAYEN-Región de Ñuble</t>
  </si>
  <si>
    <t>Limpieza de 3 (tres) fosas sépticas de 10m3 aprox. Considerar todo lo necesario para la extracción, retiro y disposición final de aguas servidas. Contar con resolución sanitaria al día y acreditación sanitaria vigente. Entrega del espacio intervenido completamente limpio.</t>
  </si>
  <si>
    <t>VALOR TOTAL POR 05 FOSAS SÉPTICAS Y 5 CAMARAS CON IVA INCLUIDO</t>
  </si>
  <si>
    <t xml:space="preserve">Limpieza y mantención de 1 (una) fosa séptica de 9.400 lts., 1.4x6x1.5 mts de profundidad, 2 (dos) cámaras desgrasadoras de 500 lts cada una.Considerar todo lo necesario para la extracción, retiro y disposición final de aguas servidas. Contar con resolución sanitaria al día y acreditación sanitaria vigente. Entrega del espacio intervenido completamente limpio. </t>
  </si>
  <si>
    <t>LIMPIEZA DE FOSAS SÉPTICAS Y DESGRASADORAS DEL CENTRO RECREACIONAL LAS CASCADAS-Región de Los Lagos</t>
  </si>
  <si>
    <t>Limpieza de 2 (dos) fosas sépticas de 10.000 lts., 1 (una) fosa séptica de 5.00 lts., 2(dos) fosas sépticas de 1.000 lts y lavado de 5 (cinco) cámaras y ductos asociados. Considerar todo lo necesario para la extracción, retiro y disposición final de aguas servidas. Contar con resolución sanitaria al día y acreditación sanitaria vigente. Entrega del espacio intervenido completamente limpio.</t>
  </si>
  <si>
    <t xml:space="preserve">Limpieza y mantención de 1 (una) fosa séptica de 5.000 m3.Considerar todo lo necesario para la extracción, retiro y disposición final de aguas servidas. Contar con resolución sanitaria al día y acreditación sanitaria vigente. Entrega del espacio intervenido completamente limpio. </t>
  </si>
  <si>
    <t>VALOR TOTAL POR 1 FOSA SÉPTICA CON IVA INCLUIDO</t>
  </si>
  <si>
    <t>LIMPIEZA DE FOSAS SÉPTICAS DEL CENTRO RECREACIONAL CLUB DE CAMPO-Región Metropolitana</t>
  </si>
  <si>
    <t>TÉRMINOS DE REFERENCIA Y CLÁUSULAS ADJUNTAS OBLIGATORIAS</t>
  </si>
  <si>
    <t xml:space="preserve">Condición de Adjudicación: </t>
  </si>
  <si>
    <t>Plazo de Entrega:</t>
  </si>
  <si>
    <t>Lugar y Horario:</t>
  </si>
  <si>
    <t xml:space="preserve">Coordinación Técnica: </t>
  </si>
  <si>
    <t xml:space="preserve">Requisito Tecnico adicional </t>
  </si>
  <si>
    <t xml:space="preserve">Garantía Técnica Obligatoria: </t>
  </si>
  <si>
    <t>El proceso se evaluará y adjudicará al total del paquete (Oferta Global). El proveedor debe cotizar obligatoriamente la totalidad del Servicio requerido; las ofertas parciales serán inadmisibles.</t>
  </si>
  <si>
    <t xml:space="preserve"> El proveedor seleccionado tendrá un plazo máximo de 3 (tres) días hábiles desde la notificación de la Orden de Compra para realizar el servicio.</t>
  </si>
  <si>
    <t>Además de rellenar este cuadro, el oferente deberá adjuntar obligatoriamente las fichas técnicas o catálogos comerciales que validen la experiencia,  y capacidades requeridas.</t>
  </si>
  <si>
    <t>PRESUPUESTO TOTAL $1.785.000-(UN MILLON SETECIENTOS OCHENTA Y CINCO MIL PESOS) IVA INCLUIDO</t>
  </si>
  <si>
    <t xml:space="preserve">(El llenado de este cuadro es obligatorio. Todos los valores deben incluir el IVA)                                                                                                                                                                                                          </t>
  </si>
  <si>
    <t>Al término de cada servicio, el proveedor deberá entregar un Certificado de Recepción de Residuos, emitido por una instalación o gestor autorizado, que acredite la correcta disposición final de los residuos extraídos de las fosas sépticas y/o cámaras desgrasadoras, según corresponda.</t>
  </si>
  <si>
    <t xml:space="preserve"> El servicio debe realizarse obligatoriamente en CALLE MUÑOZ GAMERO S/N SECTOR LAS CASCADAS, OSORNO, de lunes a viernes en horario exclusivo de 09:00 a 16:00 horas.</t>
  </si>
  <si>
    <t>La recepción física deberá coordinarse formalmente con el Sr. ULISES GONZALEZ al celular +56942080282</t>
  </si>
  <si>
    <t>PRESUPUESTO TOTAL $1.309.000-(UN MILLON TRESCIENTOS NUEVE MIL PESOS) IVA INCLUIDO</t>
  </si>
  <si>
    <t xml:space="preserve"> El servicio debe realizarse obligatoriamente en KILOMETRO 70 1/4 CAMINO TERMAS DE CHILLAN, de lunes a viernes en horario exclusivo de 09:00 a 16:00 horas.</t>
  </si>
  <si>
    <t>La recepción física deberá coordinarse formalmente con el Sr. FRANCISCO ACEVEDO al celular +56942200165</t>
  </si>
  <si>
    <t>PRESUPUESTO TOTAL $535.500.-(QUINIENTOS TREINTA Y CINCO MIL QUINIENTOS PESOS) IVA INCLUIDO</t>
  </si>
  <si>
    <t xml:space="preserve"> El servicio debe realizarse obligatoriamente en LAS TINAJAS 4246, LA FLORIDA, de lunes a viernes en horario exclusivo de 09:00 a 16:00 horas.</t>
  </si>
  <si>
    <t>La recepción física deberá coordinarse formalmente con el Sr. JUAN PEREZ al celular +56932670903</t>
  </si>
  <si>
    <t>UBICACIÓN: C.R LA CASONA-CALLE BLANCO 275, PAPUDO-CONTACTO SERGIO ARAVENA +56963655874
C.R VILLASOL-CALLE GENERAL PRIETO 2087, OLMUÉ-CONTACTO CLAUDIA ERAZO +56959350725
C.R SAN SEBASTIÁN-AVENIDA EL PERAL 136, CARTAGENA- CONTACTO MARCO OJEDA +56961692160 
PLAZO DE ENTREGA: 3 DÍAS HABILES
AL FINALIZAR EL SERVICIO DEBE ADJUNTAR UN CERTIFICADO DE RECEPCIÓN DE RESIDUOS</t>
  </si>
  <si>
    <t xml:space="preserve"> El servicio debe realizarse obligatoriamente en C.R LA CASONA-CALLE BLANCO 275, PAPUDO-CONTACTO SERGIO ARAVENA +56963655874;C.R VILLASOL-CALLE GENERAL PRIETO 2087, OLMUÉ-CONTACTO CLAUDIA ERAZO +56959350725;C.R SAN SEBASTIÁN-AVENIDA EL PERAL 136, CARTAGENA- CONTACTO MARCO OJEDA +56961692160, de lunes a viernes en horario exclusivo de 09:00 a 16:00 horas.</t>
  </si>
  <si>
    <t>VALOR TOTAL POR LAS FOSAS SÉPTICAS CON IVA INCLUIDO</t>
  </si>
  <si>
    <t>PRESUPUESTO TOTAL $690.200.-(SEISCIENTOS NOVENTA MIL DOSCIENTOS PESOS) IVA INCLUIDO</t>
  </si>
  <si>
    <t>LIMPIEZA DE FOSAS SÉPTICAS DEL CENTRO RECREACIONAL C.R LOS CASCABELES-Región Coquimbo</t>
  </si>
  <si>
    <t xml:space="preserve"> El servicio debe realizarse obligatoriamente en Kilometro 216, Los Vilos, de lunes a viernes en horario exclusivo de 09:00 a 16:00 horas.</t>
  </si>
  <si>
    <t>La recepción física deberá coordinarse formalmente con el Sr. NICOLAS MONTERO al celular +56940781111</t>
  </si>
  <si>
    <t>valor oferta</t>
  </si>
  <si>
    <t>cantrida</t>
  </si>
  <si>
    <t xml:space="preserve">cumple con lo requerido </t>
  </si>
  <si>
    <t>cr xxx</t>
  </si>
  <si>
    <t>saas</t>
  </si>
  <si>
    <t>acc</t>
  </si>
  <si>
    <t>adad</t>
  </si>
  <si>
    <t>CANTIDAD</t>
  </si>
  <si>
    <t>CENTRO Y DIRECCIÓN</t>
  </si>
  <si>
    <t>LA CASONA-PAPUDO (Calle Blanco 275, Papudo)</t>
  </si>
  <si>
    <t>VILLASOL-OLMUÉ (Calle General Prieto 2087, Olmué)</t>
  </si>
  <si>
    <t>TODOS LOS TRABAJADORES DEBEN SEGUIR CON EL PROCEDIMIENTO DE TRABAJO SEGURO Y ELEMENTOS DE PROTECCIÓN PERSONAL. Al término de cada servicio, el proveedor deberá entregar un Certificado de Recepción de Residuos, emitido por una instalación o gestor autorizado, que acredite la correcta disposición final de los residuos extraídos de las fosas sépticas y/o cámaras desgrasadoras, según corresponda.</t>
  </si>
  <si>
    <t>SAN SEBASTIÁN-CARTAGENA (Avenida El Peral 136, Cartagena)</t>
  </si>
  <si>
    <t xml:space="preserve">Limpieza de:
-2 (dos) cámaras desgrasadoras rectangulares interiores de aluminio, de dimensiones de 0.35x0.50x0.30 mts de profundidad.
-01 (una) cámara desgrasadora exterior redonda de 0.50 mts de diámetro y 0.50 mts de profundidad. El trabajo debe incluir la extracción completa de rile, lodos y grasas acumuladas. Además de asegurar la limpieza total de los ductos de entrada y salida de las cámaras desgrasadoras. Por último, debe contar con resolución sanitaria al día y acreditación sanitaria vigente. </t>
  </si>
  <si>
    <t xml:space="preserve"> El servicio debe realizarse obligatoriamente de lunes a viernes en horario exclusivo de 09:00 a 16:00 horas.</t>
  </si>
  <si>
    <t xml:space="preserve"> Horario:</t>
  </si>
  <si>
    <t>CUMPLE CON LO REQUERIDO (MARCAR CON UNA X)</t>
  </si>
  <si>
    <t>VALOR OFERTA IVA INCLUIDO</t>
  </si>
  <si>
    <t>El proceso se evaluará y adjudicará al total del paquete (Oferta Global). El proveedor debe cotizar obligatoriamente la totalidad del servicio requerido; las ofertas parciales serán inadmisibles.</t>
  </si>
  <si>
    <t xml:space="preserve">La recepción física deberá coordinarse formalmente con los siguientes contactos dependiendo del Centro Recreacional:
-C.R La Casona: Sr SERGIO ARAVENA al celular +56963655874
-C.R Villasol: Srta CLAUDIA ERAZO al celular +56959350725
-C.R San Sebastián: Sr MARCO OJEDA al celular +56961692160
</t>
  </si>
  <si>
    <t>LIMPIEZA DE CÁMARAS DESGRASADORAS DE LOS CENTROS RECREACIONALES: C.R. LA CASONA, C.R. VILLASOL Y C.R. SAN SEBASTIÁN – REGIÓN DE VALPARAÍSO</t>
  </si>
  <si>
    <t>ESTE CUADRO DE POSTULACIÓN DEBERÁ SER LLENADO OBLIGATORIAMENTE POR EL PROVEEDOR, INDICANDO EL PRECIO POR EL SERVICIO REQUERIDO (CON IVA INCLUIDO). DE NO ACEPTAR EL TOTAL DE LO REQUERIDO EN ESTA SOLICITUD, LAS OFERTAS PODRÁN SER DECLARADAS INADMISIBLES.</t>
  </si>
  <si>
    <t>PRESUPUESTO TOTAL $2.023.000.- (DOS MILLONES VEINTITRÉS MIL PESOS) IVA INCLUIDO</t>
  </si>
  <si>
    <t>VALOR UNITARIO MÁXIMO DE ACUERDO AL MERCADO POR CÁMARA DESGRASADORA CON IVA INCLUIDO</t>
  </si>
  <si>
    <t>VALOR TOTAL POR LAS CÁMARAS DESGRASADORAS CON IVA INCLUIDO</t>
  </si>
  <si>
    <t>Requisito Técnico adicional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</si>
</sst>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2" formatCode="_ &quot;$&quot;* #,##0_ ;_ &quot;$&quot;* \-#,##0_ ;_ &quot;$&quot;* &quot;-&quot;_ ;_ @_ "/>
  </numFmts>
  <fonts count="8" x14ac:knownFonts="1">
    <font>
      <sz val="11"/>
      <color theme="1"/>
      <name val="Calibri"/>
      <family val="2"/>
      <scheme val="minor"/>
    </font>
    <font>
      <sz val="11"/>
      <color theme="1"/>
      <name val="Calibri"/>
      <family val="2"/>
      <scheme val="minor"/>
    </font>
    <font>
      <b/>
      <sz val="12"/>
      <color theme="0"/>
      <name val="Calibri"/>
      <family val="2"/>
      <scheme val="minor"/>
    </font>
    <font>
      <sz val="24"/>
      <name val="Calibri"/>
      <family val="2"/>
      <scheme val="minor"/>
    </font>
    <font>
      <sz val="12"/>
      <name val="Calibri"/>
      <family val="2"/>
      <scheme val="minor"/>
    </font>
    <font>
      <b/>
      <sz val="12"/>
      <color theme="1"/>
      <name val="Calibri"/>
      <family val="2"/>
      <scheme val="minor"/>
    </font>
    <font>
      <sz val="12"/>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2" fontId="1" fillId="0" borderId="0" applyFont="0" applyFill="0" applyBorder="0" applyAlignment="0" applyProtection="0"/>
    <xf numFmtId="42" fontId="1" fillId="0" borderId="0" applyFont="0" applyFill="0" applyBorder="0" applyAlignment="0" applyProtection="0"/>
  </cellStyleXfs>
  <cellXfs count="45">
    <xf numFmtId="0" fontId="0" fillId="0" borderId="0" xfId="0"/>
    <xf numFmtId="0" fontId="0" fillId="0" borderId="1" xfId="0" applyBorder="1" applyAlignment="1">
      <alignment horizontal="center" vertical="center"/>
    </xf>
    <xf numFmtId="42" fontId="4" fillId="0" borderId="1" xfId="2" applyFont="1" applyBorder="1" applyAlignment="1">
      <alignment horizontal="center" vertical="center" wrapText="1"/>
    </xf>
    <xf numFmtId="0" fontId="0" fillId="0" borderId="1" xfId="0" applyBorder="1"/>
    <xf numFmtId="0" fontId="2"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wrapText="1"/>
    </xf>
    <xf numFmtId="0" fontId="0" fillId="0" borderId="2" xfId="0" applyBorder="1" applyAlignment="1">
      <alignment horizontal="center" vertical="center" wrapText="1"/>
    </xf>
    <xf numFmtId="0" fontId="4" fillId="0" borderId="3" xfId="0" applyFont="1" applyBorder="1" applyAlignment="1">
      <alignment horizontal="center" vertical="center" wrapText="1"/>
    </xf>
    <xf numFmtId="42" fontId="4" fillId="0" borderId="3" xfId="2" applyFont="1" applyBorder="1" applyAlignment="1">
      <alignment horizontal="center" vertical="center" wrapText="1"/>
    </xf>
    <xf numFmtId="0" fontId="0" fillId="0" borderId="7" xfId="0" applyBorder="1" applyAlignment="1">
      <alignment vertical="center" wrapText="1"/>
    </xf>
    <xf numFmtId="0" fontId="0" fillId="0" borderId="0" xfId="0" applyAlignment="1">
      <alignment wrapText="1"/>
    </xf>
    <xf numFmtId="0" fontId="5" fillId="0" borderId="0" xfId="0" applyFont="1"/>
    <xf numFmtId="0" fontId="0" fillId="0" borderId="0" xfId="0" applyAlignment="1">
      <alignment horizontal="left"/>
    </xf>
    <xf numFmtId="1" fontId="0" fillId="0" borderId="0" xfId="0" applyNumberFormat="1" applyAlignment="1">
      <alignment horizontal="center"/>
    </xf>
    <xf numFmtId="0" fontId="5" fillId="0" borderId="1" xfId="0" applyFont="1" applyBorder="1" applyAlignment="1">
      <alignment vertical="center" wrapText="1"/>
    </xf>
    <xf numFmtId="0" fontId="0" fillId="0" borderId="0" xfId="0" applyAlignment="1">
      <alignment vertical="center"/>
    </xf>
    <xf numFmtId="0" fontId="6" fillId="0" borderId="0" xfId="0" applyFont="1" applyAlignment="1">
      <alignment horizontal="left" vertical="center" wrapText="1"/>
    </xf>
    <xf numFmtId="0" fontId="7" fillId="0" borderId="9" xfId="0" applyFont="1" applyBorder="1" applyAlignment="1">
      <alignment vertical="center" wrapText="1"/>
    </xf>
    <xf numFmtId="0" fontId="4" fillId="0" borderId="1" xfId="0" applyFont="1" applyBorder="1" applyAlignment="1">
      <alignment vertical="center" wrapText="1"/>
    </xf>
    <xf numFmtId="0" fontId="5" fillId="0" borderId="0" xfId="0" applyFont="1" applyAlignment="1">
      <alignment vertical="center" wrapText="1"/>
    </xf>
    <xf numFmtId="0" fontId="0" fillId="0" borderId="1" xfId="0" applyBorder="1" applyAlignment="1">
      <alignment vertical="center" wrapText="1"/>
    </xf>
    <xf numFmtId="0" fontId="4" fillId="0" borderId="1" xfId="2" applyNumberFormat="1" applyFont="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wrapText="1"/>
    </xf>
    <xf numFmtId="42" fontId="0" fillId="0" borderId="1" xfId="0" applyNumberFormat="1" applyBorder="1" applyAlignment="1">
      <alignment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3" fillId="0" borderId="1" xfId="0" applyFont="1" applyBorder="1" applyAlignment="1">
      <alignment horizontal="center" vertical="top" wrapText="1"/>
    </xf>
    <xf numFmtId="0" fontId="4" fillId="0" borderId="1" xfId="0" applyFont="1" applyBorder="1" applyAlignment="1">
      <alignment horizontal="center" vertical="top"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0" fillId="3" borderId="4" xfId="0" applyFill="1" applyBorder="1" applyAlignment="1">
      <alignment horizontal="center" wrapText="1"/>
    </xf>
    <xf numFmtId="0" fontId="0" fillId="3" borderId="5" xfId="0" applyFill="1" applyBorder="1" applyAlignment="1">
      <alignment horizontal="center" wrapText="1"/>
    </xf>
    <xf numFmtId="0" fontId="0" fillId="3" borderId="6" xfId="0" applyFill="1" applyBorder="1" applyAlignment="1">
      <alignment horizontal="center" wrapText="1"/>
    </xf>
    <xf numFmtId="0" fontId="0" fillId="3" borderId="7" xfId="0" applyFill="1" applyBorder="1" applyAlignment="1">
      <alignment horizontal="center" wrapText="1"/>
    </xf>
    <xf numFmtId="0" fontId="3" fillId="0" borderId="1" xfId="0" applyFont="1" applyBorder="1" applyAlignment="1">
      <alignment horizontal="center" vertical="top"/>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9" xfId="0" applyFont="1" applyBorder="1" applyAlignment="1">
      <alignment horizontal="center" vertical="center" wrapText="1"/>
    </xf>
  </cellXfs>
  <cellStyles count="3">
    <cellStyle name="Moneda [0]" xfId="2" builtinId="7"/>
    <cellStyle name="Moneda [0] 2" xfId="1" xr:uid="{08635F1F-A054-477A-A6EE-115A6DD3CF52}"/>
    <cellStyle name="Normal" xfId="0" builtinId="0"/>
  </cellStyles>
  <dxfs count="0"/>
  <tableStyles count="1" defaultTableStyle="TableStyleMedium2" defaultPivotStyle="PivotStyleLight16">
    <tableStyle name="Invisible" pivot="0" table="0" count="0" xr9:uid="{B5A22ACD-5D46-4AF3-9593-B5DEB0132F0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EA618-A2E5-4CD4-8AB7-FF7799623FBD}">
  <dimension ref="A1:H29"/>
  <sheetViews>
    <sheetView topLeftCell="A10" zoomScale="70" zoomScaleNormal="70" workbookViewId="0">
      <selection activeCell="A18" sqref="A18:G23"/>
    </sheetView>
  </sheetViews>
  <sheetFormatPr baseColWidth="10" defaultRowHeight="15" x14ac:dyDescent="0.25"/>
  <cols>
    <col min="1" max="1" width="109.85546875" customWidth="1"/>
    <col min="2" max="5" width="33" customWidth="1"/>
    <col min="6" max="6" width="23.28515625" customWidth="1"/>
    <col min="7" max="7" width="23" customWidth="1"/>
    <col min="8" max="8" width="56" customWidth="1"/>
  </cols>
  <sheetData>
    <row r="1" spans="1:8" ht="31.5" x14ac:dyDescent="0.25">
      <c r="A1" s="30" t="s">
        <v>0</v>
      </c>
      <c r="B1" s="30"/>
      <c r="C1" s="30"/>
      <c r="D1" s="30"/>
      <c r="E1" s="30"/>
      <c r="F1" s="30"/>
      <c r="G1" s="30"/>
      <c r="H1" s="30"/>
    </row>
    <row r="2" spans="1:8" ht="15.75" x14ac:dyDescent="0.25">
      <c r="A2" s="31" t="s">
        <v>53</v>
      </c>
      <c r="B2" s="31"/>
      <c r="C2" s="31"/>
      <c r="D2" s="31"/>
      <c r="E2" s="31"/>
      <c r="F2" s="31"/>
      <c r="G2" s="31"/>
      <c r="H2" s="31"/>
    </row>
    <row r="3" spans="1:8" ht="42.75" customHeight="1" x14ac:dyDescent="0.25">
      <c r="A3" s="31" t="s">
        <v>3</v>
      </c>
      <c r="B3" s="31"/>
      <c r="C3" s="31"/>
      <c r="D3" s="31"/>
      <c r="E3" s="31"/>
      <c r="F3" s="31"/>
      <c r="G3" s="31"/>
      <c r="H3" s="31"/>
    </row>
    <row r="4" spans="1:8" ht="15.75" x14ac:dyDescent="0.25">
      <c r="A4" s="31" t="s">
        <v>52</v>
      </c>
      <c r="B4" s="31"/>
      <c r="C4" s="31"/>
      <c r="D4" s="31"/>
      <c r="E4" s="31"/>
      <c r="F4" s="31"/>
      <c r="G4" s="31"/>
      <c r="H4" s="31"/>
    </row>
    <row r="5" spans="1:8" ht="21" x14ac:dyDescent="0.25">
      <c r="A5" s="32" t="s">
        <v>39</v>
      </c>
      <c r="B5" s="33"/>
      <c r="C5" s="33"/>
      <c r="D5" s="33"/>
      <c r="E5" s="33"/>
      <c r="F5" s="33"/>
      <c r="G5" s="33"/>
      <c r="H5" s="34"/>
    </row>
    <row r="6" spans="1:8" x14ac:dyDescent="0.25">
      <c r="A6" s="7"/>
      <c r="B6" s="7"/>
      <c r="C6" s="7"/>
      <c r="D6" s="7"/>
      <c r="E6" s="7"/>
      <c r="F6" s="7"/>
      <c r="G6" s="7"/>
      <c r="H6" s="7"/>
    </row>
    <row r="7" spans="1:8" ht="47.25" x14ac:dyDescent="0.25">
      <c r="A7" s="4" t="s">
        <v>1</v>
      </c>
      <c r="B7" s="4" t="s">
        <v>2</v>
      </c>
      <c r="C7" s="4" t="s">
        <v>57</v>
      </c>
      <c r="D7" s="4" t="s">
        <v>56</v>
      </c>
      <c r="E7" s="4" t="s">
        <v>58</v>
      </c>
      <c r="F7" s="4" t="s">
        <v>7</v>
      </c>
      <c r="G7" s="4" t="s">
        <v>8</v>
      </c>
      <c r="H7" s="4" t="s">
        <v>5</v>
      </c>
    </row>
    <row r="8" spans="1:8" ht="141.75" x14ac:dyDescent="0.25">
      <c r="A8" s="6">
        <v>1</v>
      </c>
      <c r="B8" s="20" t="s">
        <v>20</v>
      </c>
      <c r="C8" s="20">
        <v>3</v>
      </c>
      <c r="D8" s="20"/>
      <c r="E8" s="20"/>
      <c r="F8" s="2">
        <v>230066</v>
      </c>
      <c r="G8" s="2">
        <f>(F8*3)</f>
        <v>690198</v>
      </c>
      <c r="H8" s="6" t="s">
        <v>6</v>
      </c>
    </row>
    <row r="9" spans="1:8" ht="189" x14ac:dyDescent="0.25">
      <c r="A9" s="6">
        <v>1</v>
      </c>
      <c r="B9" s="5" t="s">
        <v>14</v>
      </c>
      <c r="C9" s="5"/>
      <c r="D9" s="5"/>
      <c r="E9" s="5"/>
      <c r="F9" s="5" t="s">
        <v>13</v>
      </c>
      <c r="G9" s="2">
        <v>595000</v>
      </c>
      <c r="H9" s="2">
        <v>595000</v>
      </c>
    </row>
    <row r="10" spans="1:8" ht="267.75" x14ac:dyDescent="0.25">
      <c r="A10" s="6">
        <v>2</v>
      </c>
      <c r="B10" s="5" t="s">
        <v>17</v>
      </c>
      <c r="C10" s="5"/>
      <c r="D10" s="5"/>
      <c r="E10" s="5"/>
      <c r="F10" s="5" t="s">
        <v>15</v>
      </c>
      <c r="G10" s="2">
        <v>178500</v>
      </c>
      <c r="H10" s="2">
        <f>(G10*3)</f>
        <v>535500</v>
      </c>
    </row>
    <row r="11" spans="1:8" ht="173.25" x14ac:dyDescent="0.25">
      <c r="A11" s="6">
        <v>2</v>
      </c>
      <c r="B11" s="5" t="s">
        <v>18</v>
      </c>
      <c r="C11" s="5"/>
      <c r="D11" s="5"/>
      <c r="E11" s="5"/>
      <c r="F11" s="5" t="s">
        <v>16</v>
      </c>
      <c r="G11" s="2">
        <v>446250</v>
      </c>
      <c r="H11" s="2">
        <f>(G11*2)</f>
        <v>892500</v>
      </c>
    </row>
    <row r="18" spans="1:7" ht="15.75" x14ac:dyDescent="0.25">
      <c r="A18" s="13" t="s">
        <v>28</v>
      </c>
      <c r="B18" s="14"/>
      <c r="C18" s="14"/>
      <c r="D18" s="14"/>
      <c r="E18" s="14"/>
      <c r="G18" s="15"/>
    </row>
    <row r="19" spans="1:7" ht="15.75" x14ac:dyDescent="0.25">
      <c r="A19" s="16" t="s">
        <v>29</v>
      </c>
      <c r="B19" s="27" t="s">
        <v>35</v>
      </c>
      <c r="C19" s="28"/>
      <c r="D19" s="28"/>
      <c r="E19" s="28"/>
      <c r="F19" s="28"/>
      <c r="G19" s="29"/>
    </row>
    <row r="20" spans="1:7" ht="15.75" x14ac:dyDescent="0.25">
      <c r="A20" s="16" t="s">
        <v>30</v>
      </c>
      <c r="B20" s="27" t="s">
        <v>36</v>
      </c>
      <c r="C20" s="28"/>
      <c r="D20" s="28"/>
      <c r="E20" s="28"/>
      <c r="F20" s="28"/>
      <c r="G20" s="29"/>
    </row>
    <row r="21" spans="1:7" ht="31.5" x14ac:dyDescent="0.25">
      <c r="A21" s="16" t="s">
        <v>31</v>
      </c>
      <c r="B21" s="27" t="s">
        <v>54</v>
      </c>
      <c r="C21" s="28"/>
      <c r="D21" s="28"/>
      <c r="E21" s="28"/>
      <c r="F21" s="28"/>
      <c r="G21" s="29"/>
    </row>
    <row r="22" spans="1:7" ht="15.75" x14ac:dyDescent="0.25">
      <c r="A22" s="16" t="s">
        <v>32</v>
      </c>
      <c r="B22" s="27" t="s">
        <v>55</v>
      </c>
      <c r="C22" s="28"/>
      <c r="D22" s="28"/>
      <c r="E22" s="28"/>
      <c r="F22" s="28"/>
      <c r="G22" s="29"/>
    </row>
    <row r="23" spans="1:7" ht="15.75" x14ac:dyDescent="0.25">
      <c r="A23" s="16" t="s">
        <v>33</v>
      </c>
      <c r="B23" s="27" t="s">
        <v>37</v>
      </c>
      <c r="C23" s="28"/>
      <c r="D23" s="28"/>
      <c r="E23" s="28"/>
      <c r="F23" s="28"/>
      <c r="G23" s="29"/>
    </row>
    <row r="24" spans="1:7" ht="15.75" x14ac:dyDescent="0.25">
      <c r="A24" s="16" t="s">
        <v>34</v>
      </c>
      <c r="B24" s="27" t="s">
        <v>40</v>
      </c>
      <c r="C24" s="28"/>
      <c r="D24" s="28"/>
      <c r="E24" s="28"/>
      <c r="F24" s="28"/>
      <c r="G24" s="29"/>
    </row>
    <row r="27" spans="1:7" ht="15.75" x14ac:dyDescent="0.25">
      <c r="A27" s="21" t="s">
        <v>59</v>
      </c>
    </row>
    <row r="28" spans="1:7" ht="15.75" x14ac:dyDescent="0.25">
      <c r="A28" s="21" t="s">
        <v>59</v>
      </c>
      <c r="B28" t="s">
        <v>60</v>
      </c>
    </row>
    <row r="29" spans="1:7" ht="15.75" x14ac:dyDescent="0.25">
      <c r="A29" s="21" t="s">
        <v>61</v>
      </c>
      <c r="B29" t="s">
        <v>62</v>
      </c>
    </row>
  </sheetData>
  <mergeCells count="11">
    <mergeCell ref="B19:G19"/>
    <mergeCell ref="A1:H1"/>
    <mergeCell ref="A2:H2"/>
    <mergeCell ref="A3:H3"/>
    <mergeCell ref="A4:H4"/>
    <mergeCell ref="A5:H5"/>
    <mergeCell ref="B20:G20"/>
    <mergeCell ref="B21:G21"/>
    <mergeCell ref="B22:G22"/>
    <mergeCell ref="B23:G23"/>
    <mergeCell ref="B24:G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FB407-5A34-4A14-B34D-15816595B6C2}">
  <dimension ref="A1:I18"/>
  <sheetViews>
    <sheetView tabSelected="1" zoomScale="55" zoomScaleNormal="55" workbookViewId="0">
      <selection activeCell="A20" sqref="A20"/>
    </sheetView>
  </sheetViews>
  <sheetFormatPr baseColWidth="10" defaultRowHeight="15" x14ac:dyDescent="0.25"/>
  <cols>
    <col min="1" max="1" width="46.7109375" customWidth="1"/>
    <col min="2" max="2" width="73.28515625" customWidth="1"/>
    <col min="3" max="3" width="35.5703125" customWidth="1"/>
    <col min="4" max="4" width="16.42578125" customWidth="1"/>
    <col min="5" max="5" width="21.42578125" customWidth="1"/>
    <col min="6" max="6" width="18.85546875" customWidth="1"/>
    <col min="7" max="7" width="33.5703125" customWidth="1"/>
    <col min="8" max="8" width="33.140625" customWidth="1"/>
    <col min="9" max="9" width="66" customWidth="1"/>
  </cols>
  <sheetData>
    <row r="1" spans="1:9" ht="31.5" x14ac:dyDescent="0.25">
      <c r="A1" s="30" t="s">
        <v>0</v>
      </c>
      <c r="B1" s="30"/>
      <c r="C1" s="30"/>
      <c r="D1" s="30"/>
      <c r="E1" s="30"/>
      <c r="F1" s="30"/>
      <c r="G1" s="30"/>
      <c r="H1" s="30"/>
      <c r="I1" s="30"/>
    </row>
    <row r="2" spans="1:9" ht="15.75" x14ac:dyDescent="0.25">
      <c r="A2" s="31" t="s">
        <v>76</v>
      </c>
      <c r="B2" s="31"/>
      <c r="C2" s="31"/>
      <c r="D2" s="31"/>
      <c r="E2" s="31"/>
      <c r="F2" s="31"/>
      <c r="G2" s="31"/>
      <c r="H2" s="31"/>
      <c r="I2" s="31"/>
    </row>
    <row r="3" spans="1:9" ht="15.75" x14ac:dyDescent="0.25">
      <c r="A3" s="31" t="s">
        <v>77</v>
      </c>
      <c r="B3" s="31"/>
      <c r="C3" s="31"/>
      <c r="D3" s="31"/>
      <c r="E3" s="31"/>
      <c r="F3" s="31"/>
      <c r="G3" s="31"/>
      <c r="H3" s="31"/>
      <c r="I3" s="31"/>
    </row>
    <row r="4" spans="1:9" ht="15.75" x14ac:dyDescent="0.25">
      <c r="A4" s="31" t="s">
        <v>78</v>
      </c>
      <c r="B4" s="31"/>
      <c r="C4" s="31"/>
      <c r="D4" s="31"/>
      <c r="E4" s="31"/>
      <c r="F4" s="31"/>
      <c r="G4" s="31"/>
      <c r="H4" s="31"/>
      <c r="I4" s="31"/>
    </row>
    <row r="5" spans="1:9" ht="21" x14ac:dyDescent="0.25">
      <c r="A5" s="32" t="s">
        <v>39</v>
      </c>
      <c r="B5" s="33"/>
      <c r="C5" s="33"/>
      <c r="D5" s="33"/>
      <c r="E5" s="33"/>
      <c r="F5" s="33"/>
      <c r="G5" s="33"/>
      <c r="H5" s="33"/>
      <c r="I5" s="34"/>
    </row>
    <row r="7" spans="1:9" ht="94.5" x14ac:dyDescent="0.25">
      <c r="A7" s="4" t="s">
        <v>1</v>
      </c>
      <c r="B7" s="4" t="s">
        <v>2</v>
      </c>
      <c r="C7" s="4" t="s">
        <v>64</v>
      </c>
      <c r="D7" s="4" t="s">
        <v>63</v>
      </c>
      <c r="E7" s="4" t="s">
        <v>72</v>
      </c>
      <c r="F7" s="4" t="s">
        <v>73</v>
      </c>
      <c r="G7" s="4" t="s">
        <v>79</v>
      </c>
      <c r="H7" s="4" t="s">
        <v>80</v>
      </c>
      <c r="I7" s="4" t="s">
        <v>5</v>
      </c>
    </row>
    <row r="8" spans="1:9" ht="131.25" customHeight="1" x14ac:dyDescent="0.25">
      <c r="A8" s="6">
        <v>1</v>
      </c>
      <c r="B8" s="5" t="s">
        <v>14</v>
      </c>
      <c r="C8" s="5" t="s">
        <v>65</v>
      </c>
      <c r="D8" s="23">
        <v>1</v>
      </c>
      <c r="E8" s="2"/>
      <c r="F8" s="6"/>
      <c r="G8" s="2">
        <v>595000</v>
      </c>
      <c r="H8" s="2">
        <f t="shared" ref="H8:H10" si="0">(G8*D8)</f>
        <v>595000</v>
      </c>
      <c r="I8" s="6" t="s">
        <v>67</v>
      </c>
    </row>
    <row r="9" spans="1:9" ht="162.75" customHeight="1" x14ac:dyDescent="0.25">
      <c r="A9" s="6">
        <v>2</v>
      </c>
      <c r="B9" s="5" t="s">
        <v>69</v>
      </c>
      <c r="C9" s="5" t="s">
        <v>66</v>
      </c>
      <c r="D9" s="23">
        <v>3</v>
      </c>
      <c r="E9" s="2"/>
      <c r="F9" s="25"/>
      <c r="G9" s="2">
        <v>178500</v>
      </c>
      <c r="H9" s="2">
        <f t="shared" si="0"/>
        <v>535500</v>
      </c>
      <c r="I9" s="6" t="s">
        <v>67</v>
      </c>
    </row>
    <row r="10" spans="1:9" ht="131.25" customHeight="1" x14ac:dyDescent="0.25">
      <c r="A10" s="6">
        <v>3</v>
      </c>
      <c r="B10" s="5" t="s">
        <v>18</v>
      </c>
      <c r="C10" s="5" t="s">
        <v>68</v>
      </c>
      <c r="D10" s="23">
        <v>2</v>
      </c>
      <c r="E10" s="2"/>
      <c r="F10" s="25"/>
      <c r="G10" s="2">
        <v>446250</v>
      </c>
      <c r="H10" s="2">
        <f t="shared" si="0"/>
        <v>892500</v>
      </c>
      <c r="I10" s="6" t="s">
        <v>67</v>
      </c>
    </row>
    <row r="11" spans="1:9" x14ac:dyDescent="0.25">
      <c r="A11" s="12"/>
      <c r="B11" s="12"/>
      <c r="C11" s="12"/>
      <c r="D11" s="12"/>
      <c r="E11" s="12"/>
      <c r="F11" s="12"/>
      <c r="G11" s="12"/>
      <c r="H11" s="26">
        <f>(D8*F8)+(D9*F9)+D10*F10</f>
        <v>0</v>
      </c>
      <c r="I11" s="24"/>
    </row>
    <row r="13" spans="1:9" ht="15.75" x14ac:dyDescent="0.25">
      <c r="A13" s="13" t="s">
        <v>28</v>
      </c>
      <c r="B13" s="14"/>
      <c r="C13" s="14"/>
      <c r="D13" s="14"/>
      <c r="E13" s="14"/>
      <c r="G13" s="15"/>
    </row>
    <row r="14" spans="1:9" ht="48" customHeight="1" x14ac:dyDescent="0.25">
      <c r="A14" s="16" t="s">
        <v>29</v>
      </c>
      <c r="B14" s="27" t="s">
        <v>74</v>
      </c>
      <c r="C14" s="28"/>
      <c r="D14" s="28"/>
      <c r="E14" s="28"/>
      <c r="F14" s="28"/>
      <c r="G14" s="29"/>
    </row>
    <row r="15" spans="1:9" ht="24" customHeight="1" x14ac:dyDescent="0.25">
      <c r="A15" s="16" t="s">
        <v>30</v>
      </c>
      <c r="B15" s="27" t="s">
        <v>36</v>
      </c>
      <c r="C15" s="28"/>
      <c r="D15" s="28"/>
      <c r="E15" s="28"/>
      <c r="F15" s="28"/>
      <c r="G15" s="29"/>
    </row>
    <row r="16" spans="1:9" ht="22.5" customHeight="1" x14ac:dyDescent="0.25">
      <c r="A16" s="16" t="s">
        <v>71</v>
      </c>
      <c r="B16" s="27" t="s">
        <v>70</v>
      </c>
      <c r="C16" s="28"/>
      <c r="D16" s="28"/>
      <c r="E16" s="28"/>
      <c r="F16" s="28"/>
      <c r="G16" s="29"/>
    </row>
    <row r="17" spans="1:7" ht="77.25" customHeight="1" x14ac:dyDescent="0.25">
      <c r="A17" s="16" t="s">
        <v>32</v>
      </c>
      <c r="B17" s="27" t="s">
        <v>75</v>
      </c>
      <c r="C17" s="28"/>
      <c r="D17" s="28"/>
      <c r="E17" s="28"/>
      <c r="F17" s="28"/>
      <c r="G17" s="29"/>
    </row>
    <row r="18" spans="1:7" ht="27" customHeight="1" x14ac:dyDescent="0.25">
      <c r="A18" s="16" t="s">
        <v>81</v>
      </c>
      <c r="B18" s="27" t="s">
        <v>37</v>
      </c>
      <c r="C18" s="28"/>
      <c r="D18" s="28"/>
      <c r="E18" s="28"/>
      <c r="F18" s="28"/>
      <c r="G18" s="29"/>
    </row>
  </sheetData>
  <mergeCells count="10">
    <mergeCell ref="B15:G15"/>
    <mergeCell ref="B16:G16"/>
    <mergeCell ref="B17:G17"/>
    <mergeCell ref="B18:G18"/>
    <mergeCell ref="A1:I1"/>
    <mergeCell ref="A2:I2"/>
    <mergeCell ref="A3:I3"/>
    <mergeCell ref="A4:I4"/>
    <mergeCell ref="A5:I5"/>
    <mergeCell ref="B14:G14"/>
  </mergeCells>
  <pageMargins left="0.7" right="0.7" top="0.75" bottom="0.75" header="0.3" footer="0.3"/>
  <ignoredErrors>
    <ignoredError sqref="H8"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04CE4-9049-4F30-937E-A9EE9A95249A}">
  <dimension ref="A1:F20"/>
  <sheetViews>
    <sheetView topLeftCell="A7" workbookViewId="0">
      <selection activeCell="A11" sqref="A11:F12"/>
    </sheetView>
  </sheetViews>
  <sheetFormatPr baseColWidth="10" defaultRowHeight="15" x14ac:dyDescent="0.25"/>
  <cols>
    <col min="1" max="1" width="10.5703125" customWidth="1"/>
    <col min="2" max="3" width="43.42578125" customWidth="1"/>
    <col min="4" max="4" width="44.140625" customWidth="1"/>
    <col min="5" max="5" width="26.85546875" customWidth="1"/>
    <col min="6" max="6" width="70.85546875" customWidth="1"/>
  </cols>
  <sheetData>
    <row r="1" spans="1:6" ht="31.5" x14ac:dyDescent="0.25">
      <c r="A1" s="30" t="s">
        <v>0</v>
      </c>
      <c r="B1" s="30"/>
      <c r="C1" s="30"/>
      <c r="D1" s="30"/>
      <c r="E1" s="30"/>
      <c r="F1" s="30"/>
    </row>
    <row r="2" spans="1:6" ht="15.75" x14ac:dyDescent="0.25">
      <c r="A2" s="31" t="s">
        <v>10</v>
      </c>
      <c r="B2" s="31"/>
      <c r="C2" s="31"/>
      <c r="D2" s="31"/>
      <c r="E2" s="31"/>
      <c r="F2" s="31"/>
    </row>
    <row r="3" spans="1:6" ht="15.75" x14ac:dyDescent="0.25">
      <c r="A3" s="31" t="s">
        <v>3</v>
      </c>
      <c r="B3" s="31"/>
      <c r="C3" s="31"/>
      <c r="D3" s="31"/>
      <c r="E3" s="31"/>
      <c r="F3" s="31"/>
    </row>
    <row r="4" spans="1:6" ht="15.75" x14ac:dyDescent="0.25">
      <c r="A4" s="31" t="s">
        <v>11</v>
      </c>
      <c r="B4" s="31"/>
      <c r="C4" s="31"/>
      <c r="D4" s="31"/>
      <c r="E4" s="31"/>
      <c r="F4" s="31"/>
    </row>
    <row r="5" spans="1:6" x14ac:dyDescent="0.25">
      <c r="A5" s="7"/>
      <c r="B5" s="7"/>
      <c r="C5" s="7"/>
      <c r="D5" s="7"/>
      <c r="E5" s="7"/>
      <c r="F5" s="7"/>
    </row>
    <row r="6" spans="1:6" ht="47.25" x14ac:dyDescent="0.25">
      <c r="A6" s="4" t="s">
        <v>1</v>
      </c>
      <c r="B6" s="4" t="s">
        <v>2</v>
      </c>
      <c r="C6" s="4" t="s">
        <v>12</v>
      </c>
      <c r="D6" s="4" t="s">
        <v>7</v>
      </c>
      <c r="E6" s="4" t="s">
        <v>51</v>
      </c>
      <c r="F6" s="4" t="s">
        <v>5</v>
      </c>
    </row>
    <row r="7" spans="1:6" ht="126" x14ac:dyDescent="0.25">
      <c r="A7" s="6">
        <v>1</v>
      </c>
      <c r="B7" s="5" t="s">
        <v>14</v>
      </c>
      <c r="C7" s="5" t="s">
        <v>13</v>
      </c>
      <c r="D7" s="2">
        <v>595000</v>
      </c>
      <c r="E7" s="2">
        <v>595000</v>
      </c>
      <c r="F7" s="22" t="s">
        <v>9</v>
      </c>
    </row>
    <row r="8" spans="1:6" ht="189" x14ac:dyDescent="0.25">
      <c r="A8" s="6">
        <v>2</v>
      </c>
      <c r="B8" s="5" t="s">
        <v>17</v>
      </c>
      <c r="C8" s="5" t="s">
        <v>15</v>
      </c>
      <c r="D8" s="2">
        <v>178500</v>
      </c>
      <c r="E8" s="2">
        <f>(D8*3)</f>
        <v>535500</v>
      </c>
      <c r="F8" s="22"/>
    </row>
    <row r="9" spans="1:6" ht="126" x14ac:dyDescent="0.25">
      <c r="A9" s="6">
        <v>2</v>
      </c>
      <c r="B9" s="5" t="s">
        <v>18</v>
      </c>
      <c r="C9" s="5" t="s">
        <v>16</v>
      </c>
      <c r="D9" s="2">
        <v>446250</v>
      </c>
      <c r="E9" s="2">
        <f>(D9*2)</f>
        <v>892500</v>
      </c>
      <c r="F9" s="22"/>
    </row>
    <row r="10" spans="1:6" ht="15.75" x14ac:dyDescent="0.25">
      <c r="A10" s="8"/>
      <c r="B10" s="9"/>
      <c r="C10" s="9"/>
      <c r="D10" s="10"/>
      <c r="E10" s="10">
        <f>SUM(E7:E9)</f>
        <v>2023000</v>
      </c>
      <c r="F10" s="11"/>
    </row>
    <row r="11" spans="1:6" ht="49.5" customHeight="1" x14ac:dyDescent="0.25">
      <c r="A11" s="35" t="s">
        <v>49</v>
      </c>
      <c r="B11" s="36"/>
      <c r="C11" s="36"/>
      <c r="D11" s="36"/>
      <c r="E11" s="36"/>
      <c r="F11" s="37"/>
    </row>
    <row r="12" spans="1:6" ht="30.75" customHeight="1" x14ac:dyDescent="0.25">
      <c r="A12" s="38"/>
      <c r="B12" s="39"/>
      <c r="C12" s="39"/>
      <c r="D12" s="39"/>
      <c r="E12" s="39"/>
      <c r="F12" s="40"/>
    </row>
    <row r="15" spans="1:6" ht="15.75" x14ac:dyDescent="0.25">
      <c r="A15" s="13" t="s">
        <v>28</v>
      </c>
      <c r="B15" s="14"/>
      <c r="E15" s="15"/>
    </row>
    <row r="16" spans="1:6" ht="63" x14ac:dyDescent="0.25">
      <c r="A16" s="16" t="s">
        <v>29</v>
      </c>
      <c r="B16" s="27" t="s">
        <v>35</v>
      </c>
      <c r="C16" s="28"/>
      <c r="D16" s="28"/>
      <c r="E16" s="29"/>
    </row>
    <row r="17" spans="1:5" ht="31.5" x14ac:dyDescent="0.25">
      <c r="A17" s="16" t="s">
        <v>30</v>
      </c>
      <c r="B17" s="27" t="s">
        <v>36</v>
      </c>
      <c r="C17" s="28"/>
      <c r="D17" s="28"/>
      <c r="E17" s="29"/>
    </row>
    <row r="18" spans="1:5" ht="31.5" x14ac:dyDescent="0.25">
      <c r="A18" s="16" t="s">
        <v>31</v>
      </c>
      <c r="B18" s="27" t="s">
        <v>50</v>
      </c>
      <c r="C18" s="28"/>
      <c r="D18" s="28"/>
      <c r="E18" s="29"/>
    </row>
    <row r="19" spans="1:5" ht="47.25" x14ac:dyDescent="0.25">
      <c r="A19" s="16" t="s">
        <v>33</v>
      </c>
      <c r="B19" s="27" t="s">
        <v>37</v>
      </c>
      <c r="C19" s="28"/>
      <c r="D19" s="28"/>
      <c r="E19" s="29"/>
    </row>
    <row r="20" spans="1:5" ht="63" x14ac:dyDescent="0.25">
      <c r="A20" s="16" t="s">
        <v>34</v>
      </c>
      <c r="B20" s="27" t="s">
        <v>40</v>
      </c>
      <c r="C20" s="28"/>
      <c r="D20" s="28"/>
      <c r="E20" s="29"/>
    </row>
  </sheetData>
  <mergeCells count="10">
    <mergeCell ref="B20:E20"/>
    <mergeCell ref="B16:E16"/>
    <mergeCell ref="B17:E17"/>
    <mergeCell ref="B18:E18"/>
    <mergeCell ref="B19:E19"/>
    <mergeCell ref="A11:F12"/>
    <mergeCell ref="A1:F1"/>
    <mergeCell ref="A2:F2"/>
    <mergeCell ref="A3:F3"/>
    <mergeCell ref="A4:F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C2A06-D654-4448-94CB-0F388413F8DC}">
  <dimension ref="A1:F16"/>
  <sheetViews>
    <sheetView topLeftCell="A7" workbookViewId="0">
      <selection activeCell="B14" sqref="B14:E14"/>
    </sheetView>
  </sheetViews>
  <sheetFormatPr baseColWidth="10" defaultRowHeight="15" x14ac:dyDescent="0.25"/>
  <cols>
    <col min="2" max="2" width="42" customWidth="1"/>
    <col min="3" max="3" width="18.28515625" hidden="1" customWidth="1"/>
    <col min="4" max="4" width="24.85546875" customWidth="1"/>
    <col min="5" max="5" width="32.85546875" customWidth="1"/>
    <col min="6" max="6" width="30.42578125" customWidth="1"/>
  </cols>
  <sheetData>
    <row r="1" spans="1:6" ht="31.5" x14ac:dyDescent="0.25">
      <c r="A1" s="41" t="s">
        <v>0</v>
      </c>
      <c r="B1" s="41"/>
      <c r="C1" s="41"/>
      <c r="D1" s="41"/>
      <c r="E1" s="41"/>
      <c r="F1" s="41"/>
    </row>
    <row r="2" spans="1:6" ht="39" customHeight="1" x14ac:dyDescent="0.25">
      <c r="A2" s="31" t="s">
        <v>27</v>
      </c>
      <c r="B2" s="31"/>
      <c r="C2" s="31"/>
      <c r="D2" s="31"/>
      <c r="E2" s="31"/>
      <c r="F2" s="31"/>
    </row>
    <row r="3" spans="1:6" ht="52.5" customHeight="1" x14ac:dyDescent="0.25">
      <c r="A3" s="31" t="s">
        <v>3</v>
      </c>
      <c r="B3" s="31"/>
      <c r="C3" s="31"/>
      <c r="D3" s="31"/>
      <c r="E3" s="31"/>
      <c r="F3" s="31"/>
    </row>
    <row r="4" spans="1:6" ht="15.75" customHeight="1" x14ac:dyDescent="0.25">
      <c r="A4" s="31" t="s">
        <v>46</v>
      </c>
      <c r="B4" s="31"/>
      <c r="C4" s="31"/>
      <c r="D4" s="31"/>
      <c r="E4" s="31"/>
      <c r="F4" s="31"/>
    </row>
    <row r="5" spans="1:6" ht="15.75" customHeight="1" x14ac:dyDescent="0.25">
      <c r="A5" s="32" t="s">
        <v>39</v>
      </c>
      <c r="B5" s="33"/>
      <c r="C5" s="33"/>
      <c r="D5" s="33"/>
      <c r="E5" s="33"/>
      <c r="F5" s="34"/>
    </row>
    <row r="6" spans="1:6" x14ac:dyDescent="0.25">
      <c r="A6" s="3"/>
      <c r="B6" s="3"/>
      <c r="C6" s="3"/>
      <c r="D6" s="3"/>
      <c r="E6" s="3"/>
      <c r="F6" s="3"/>
    </row>
    <row r="7" spans="1:6" ht="47.25" x14ac:dyDescent="0.25">
      <c r="A7" s="4" t="s">
        <v>1</v>
      </c>
      <c r="B7" s="4" t="s">
        <v>2</v>
      </c>
      <c r="C7" s="4" t="s">
        <v>4</v>
      </c>
      <c r="D7" s="4" t="s">
        <v>7</v>
      </c>
      <c r="E7" s="4" t="s">
        <v>26</v>
      </c>
      <c r="F7" s="4" t="s">
        <v>5</v>
      </c>
    </row>
    <row r="8" spans="1:6" ht="186" customHeight="1" x14ac:dyDescent="0.25">
      <c r="A8" s="1">
        <v>1</v>
      </c>
      <c r="B8" s="5" t="s">
        <v>25</v>
      </c>
      <c r="C8" s="5"/>
      <c r="D8" s="2">
        <v>535500</v>
      </c>
      <c r="E8" s="2">
        <v>535500</v>
      </c>
      <c r="F8" s="6" t="s">
        <v>6</v>
      </c>
    </row>
    <row r="9" spans="1:6" ht="37.5" customHeight="1" x14ac:dyDescent="0.25"/>
    <row r="10" spans="1:6" ht="31.5" customHeight="1" x14ac:dyDescent="0.25">
      <c r="A10" s="13" t="s">
        <v>28</v>
      </c>
      <c r="B10" s="14"/>
      <c r="E10" s="15"/>
    </row>
    <row r="11" spans="1:6" ht="63" customHeight="1" x14ac:dyDescent="0.25">
      <c r="A11" s="16" t="s">
        <v>29</v>
      </c>
      <c r="B11" s="27" t="s">
        <v>35</v>
      </c>
      <c r="C11" s="28"/>
      <c r="D11" s="28"/>
      <c r="E11" s="29"/>
    </row>
    <row r="12" spans="1:6" ht="31.5" customHeight="1" x14ac:dyDescent="0.25">
      <c r="A12" s="16" t="s">
        <v>30</v>
      </c>
      <c r="B12" s="27" t="s">
        <v>36</v>
      </c>
      <c r="C12" s="28"/>
      <c r="D12" s="28"/>
      <c r="E12" s="29"/>
    </row>
    <row r="13" spans="1:6" ht="31.5" customHeight="1" x14ac:dyDescent="0.25">
      <c r="A13" s="16" t="s">
        <v>31</v>
      </c>
      <c r="B13" s="27" t="s">
        <v>47</v>
      </c>
      <c r="C13" s="28"/>
      <c r="D13" s="28"/>
      <c r="E13" s="29"/>
    </row>
    <row r="14" spans="1:6" ht="47.25" x14ac:dyDescent="0.25">
      <c r="A14" s="16" t="s">
        <v>32</v>
      </c>
      <c r="B14" s="27" t="s">
        <v>48</v>
      </c>
      <c r="C14" s="28"/>
      <c r="D14" s="28"/>
      <c r="E14" s="29"/>
    </row>
    <row r="15" spans="1:6" ht="47.25" customHeight="1" x14ac:dyDescent="0.25">
      <c r="A15" s="16" t="s">
        <v>33</v>
      </c>
      <c r="B15" s="27" t="s">
        <v>37</v>
      </c>
      <c r="C15" s="28"/>
      <c r="D15" s="28"/>
      <c r="E15" s="29"/>
    </row>
    <row r="16" spans="1:6" ht="63" customHeight="1" x14ac:dyDescent="0.25">
      <c r="A16" s="16" t="s">
        <v>34</v>
      </c>
      <c r="B16" s="27" t="s">
        <v>40</v>
      </c>
      <c r="C16" s="28"/>
      <c r="D16" s="28"/>
      <c r="E16" s="29"/>
    </row>
  </sheetData>
  <mergeCells count="11">
    <mergeCell ref="B16:E16"/>
    <mergeCell ref="B11:E11"/>
    <mergeCell ref="B12:E12"/>
    <mergeCell ref="B13:E13"/>
    <mergeCell ref="B14:E14"/>
    <mergeCell ref="B15:E15"/>
    <mergeCell ref="A1:F1"/>
    <mergeCell ref="A2:F2"/>
    <mergeCell ref="A3:F3"/>
    <mergeCell ref="A4:F4"/>
    <mergeCell ref="A5:F5"/>
  </mergeCells>
  <pageMargins left="0.7" right="0.7" top="0.75" bottom="0.75" header="0.3" footer="0.3"/>
  <pageSetup paperSize="17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3C5F9-B428-4047-B35F-70B5D45DB60A}">
  <dimension ref="A1:F18"/>
  <sheetViews>
    <sheetView topLeftCell="A7" workbookViewId="0">
      <selection activeCell="B14" sqref="B14:E14"/>
    </sheetView>
  </sheetViews>
  <sheetFormatPr baseColWidth="10" defaultRowHeight="15" x14ac:dyDescent="0.25"/>
  <cols>
    <col min="2" max="2" width="40" customWidth="1"/>
    <col min="3" max="3" width="17.5703125" customWidth="1"/>
    <col min="4" max="4" width="26" customWidth="1"/>
    <col min="5" max="5" width="54" customWidth="1"/>
  </cols>
  <sheetData>
    <row r="1" spans="1:6" ht="31.5" x14ac:dyDescent="0.25">
      <c r="A1" s="30" t="s">
        <v>0</v>
      </c>
      <c r="B1" s="30"/>
      <c r="C1" s="30"/>
      <c r="D1" s="30"/>
      <c r="E1" s="30"/>
    </row>
    <row r="2" spans="1:6" ht="15.75" x14ac:dyDescent="0.25">
      <c r="A2" s="31" t="s">
        <v>19</v>
      </c>
      <c r="B2" s="31"/>
      <c r="C2" s="31"/>
      <c r="D2" s="31"/>
      <c r="E2" s="31"/>
    </row>
    <row r="3" spans="1:6" ht="15.75" x14ac:dyDescent="0.25">
      <c r="A3" s="31" t="s">
        <v>3</v>
      </c>
      <c r="B3" s="31"/>
      <c r="C3" s="31"/>
      <c r="D3" s="31"/>
      <c r="E3" s="31"/>
    </row>
    <row r="4" spans="1:6" ht="15.75" x14ac:dyDescent="0.25">
      <c r="A4" s="31" t="s">
        <v>43</v>
      </c>
      <c r="B4" s="31"/>
      <c r="C4" s="31"/>
      <c r="D4" s="31"/>
      <c r="E4" s="31"/>
    </row>
    <row r="5" spans="1:6" ht="21" customHeight="1" x14ac:dyDescent="0.25">
      <c r="A5" s="32" t="s">
        <v>39</v>
      </c>
      <c r="B5" s="33"/>
      <c r="C5" s="33"/>
      <c r="D5" s="33"/>
      <c r="E5" s="33"/>
      <c r="F5" s="19"/>
    </row>
    <row r="6" spans="1:6" x14ac:dyDescent="0.25">
      <c r="A6" s="7"/>
      <c r="B6" s="7"/>
      <c r="C6" s="7"/>
      <c r="D6" s="7"/>
      <c r="E6" s="7"/>
    </row>
    <row r="7" spans="1:6" ht="78.75" x14ac:dyDescent="0.25">
      <c r="A7" s="4" t="s">
        <v>1</v>
      </c>
      <c r="B7" s="4" t="s">
        <v>2</v>
      </c>
      <c r="C7" s="4" t="s">
        <v>7</v>
      </c>
      <c r="D7" s="4" t="s">
        <v>21</v>
      </c>
      <c r="E7" s="4" t="s">
        <v>5</v>
      </c>
    </row>
    <row r="8" spans="1:6" ht="157.5" x14ac:dyDescent="0.25">
      <c r="A8" s="6">
        <v>1</v>
      </c>
      <c r="B8" s="5" t="s">
        <v>24</v>
      </c>
      <c r="C8" s="2">
        <v>130900</v>
      </c>
      <c r="D8" s="2">
        <f>(C8*10)</f>
        <v>1309000</v>
      </c>
      <c r="E8" s="6" t="s">
        <v>9</v>
      </c>
    </row>
    <row r="9" spans="1:6" ht="25.5" customHeight="1" x14ac:dyDescent="0.25">
      <c r="A9" s="12"/>
      <c r="B9" s="12"/>
      <c r="C9" s="12"/>
      <c r="D9" s="12"/>
      <c r="E9" s="12"/>
    </row>
    <row r="10" spans="1:6" ht="26.25" customHeight="1" x14ac:dyDescent="0.25">
      <c r="A10" s="13" t="s">
        <v>28</v>
      </c>
      <c r="B10" s="14"/>
      <c r="E10" s="15"/>
    </row>
    <row r="11" spans="1:6" ht="63" x14ac:dyDescent="0.25">
      <c r="A11" s="16" t="s">
        <v>29</v>
      </c>
      <c r="B11" s="27" t="s">
        <v>35</v>
      </c>
      <c r="C11" s="28"/>
      <c r="D11" s="28"/>
      <c r="E11" s="29"/>
    </row>
    <row r="12" spans="1:6" ht="31.5" x14ac:dyDescent="0.25">
      <c r="A12" s="16" t="s">
        <v>30</v>
      </c>
      <c r="B12" s="27" t="s">
        <v>36</v>
      </c>
      <c r="C12" s="28"/>
      <c r="D12" s="28"/>
      <c r="E12" s="29"/>
    </row>
    <row r="13" spans="1:6" ht="78.75" customHeight="1" x14ac:dyDescent="0.25">
      <c r="A13" s="16" t="s">
        <v>31</v>
      </c>
      <c r="B13" s="27" t="s">
        <v>44</v>
      </c>
      <c r="C13" s="28"/>
      <c r="D13" s="28"/>
      <c r="E13" s="29"/>
    </row>
    <row r="14" spans="1:6" ht="63" customHeight="1" x14ac:dyDescent="0.25">
      <c r="A14" s="16" t="s">
        <v>32</v>
      </c>
      <c r="B14" s="27" t="s">
        <v>45</v>
      </c>
      <c r="C14" s="28"/>
      <c r="D14" s="28"/>
      <c r="E14" s="29"/>
    </row>
    <row r="15" spans="1:6" ht="78.75" customHeight="1" x14ac:dyDescent="0.25">
      <c r="A15" s="16" t="s">
        <v>33</v>
      </c>
      <c r="B15" s="27" t="s">
        <v>37</v>
      </c>
      <c r="C15" s="28"/>
      <c r="D15" s="28"/>
      <c r="E15" s="29"/>
    </row>
    <row r="16" spans="1:6" ht="63" x14ac:dyDescent="0.25">
      <c r="A16" s="16" t="s">
        <v>34</v>
      </c>
      <c r="B16" s="27" t="s">
        <v>40</v>
      </c>
      <c r="C16" s="28"/>
      <c r="D16" s="28"/>
      <c r="E16" s="29"/>
    </row>
    <row r="17" ht="78.75" customHeight="1" x14ac:dyDescent="0.25"/>
    <row r="18" ht="126" customHeight="1" x14ac:dyDescent="0.25"/>
  </sheetData>
  <mergeCells count="11">
    <mergeCell ref="B16:E16"/>
    <mergeCell ref="B11:E11"/>
    <mergeCell ref="B12:E12"/>
    <mergeCell ref="B13:E13"/>
    <mergeCell ref="B14:E14"/>
    <mergeCell ref="B15:E15"/>
    <mergeCell ref="A1:E1"/>
    <mergeCell ref="A2:E2"/>
    <mergeCell ref="A3:E3"/>
    <mergeCell ref="A4:E4"/>
    <mergeCell ref="A5:E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F8F45-DD14-407B-BBF9-4076D7046D07}">
  <dimension ref="A1:F18"/>
  <sheetViews>
    <sheetView topLeftCell="A7" workbookViewId="0">
      <selection activeCell="B14" sqref="B14:E14"/>
    </sheetView>
  </sheetViews>
  <sheetFormatPr baseColWidth="10" defaultRowHeight="15" x14ac:dyDescent="0.25"/>
  <cols>
    <col min="2" max="2" width="37.42578125" customWidth="1"/>
    <col min="3" max="3" width="29" customWidth="1"/>
    <col min="4" max="4" width="19.85546875" customWidth="1"/>
    <col min="5" max="5" width="43.85546875" customWidth="1"/>
  </cols>
  <sheetData>
    <row r="1" spans="1:6" ht="31.5" x14ac:dyDescent="0.25">
      <c r="A1" s="30" t="s">
        <v>0</v>
      </c>
      <c r="B1" s="30"/>
      <c r="C1" s="30"/>
      <c r="D1" s="30"/>
      <c r="E1" s="30"/>
    </row>
    <row r="2" spans="1:6" ht="15.75" x14ac:dyDescent="0.25">
      <c r="A2" s="31" t="s">
        <v>23</v>
      </c>
      <c r="B2" s="31"/>
      <c r="C2" s="31"/>
      <c r="D2" s="31"/>
      <c r="E2" s="31"/>
    </row>
    <row r="3" spans="1:6" ht="15.75" x14ac:dyDescent="0.25">
      <c r="A3" s="31" t="s">
        <v>3</v>
      </c>
      <c r="B3" s="31"/>
      <c r="C3" s="31"/>
      <c r="D3" s="31"/>
      <c r="E3" s="31"/>
    </row>
    <row r="4" spans="1:6" ht="15.75" x14ac:dyDescent="0.25">
      <c r="A4" s="31" t="s">
        <v>38</v>
      </c>
      <c r="B4" s="31"/>
      <c r="C4" s="31"/>
      <c r="D4" s="31"/>
      <c r="E4" s="31"/>
    </row>
    <row r="5" spans="1:6" s="17" customFormat="1" ht="21" x14ac:dyDescent="0.25">
      <c r="A5" s="42" t="s">
        <v>39</v>
      </c>
      <c r="B5" s="43"/>
      <c r="C5" s="43"/>
      <c r="D5" s="43"/>
      <c r="E5" s="43"/>
      <c r="F5" s="44"/>
    </row>
    <row r="6" spans="1:6" x14ac:dyDescent="0.25">
      <c r="A6" s="7"/>
      <c r="B6" s="7"/>
      <c r="C6" s="7"/>
      <c r="D6" s="7"/>
      <c r="E6" s="7"/>
    </row>
    <row r="7" spans="1:6" ht="47.25" x14ac:dyDescent="0.25">
      <c r="A7" s="4" t="s">
        <v>1</v>
      </c>
      <c r="B7" s="4" t="s">
        <v>2</v>
      </c>
      <c r="C7" s="4" t="s">
        <v>7</v>
      </c>
      <c r="D7" s="4" t="s">
        <v>8</v>
      </c>
      <c r="E7" s="4" t="s">
        <v>5</v>
      </c>
    </row>
    <row r="8" spans="1:6" ht="173.25" x14ac:dyDescent="0.25">
      <c r="A8" s="6">
        <v>1</v>
      </c>
      <c r="B8" s="5" t="s">
        <v>22</v>
      </c>
      <c r="C8" s="2">
        <v>595000</v>
      </c>
      <c r="D8" s="2">
        <f>(C8*3)</f>
        <v>1785000</v>
      </c>
      <c r="E8" s="6" t="s">
        <v>9</v>
      </c>
    </row>
    <row r="10" spans="1:6" ht="32.25" customHeight="1" x14ac:dyDescent="0.25">
      <c r="A10" s="13" t="s">
        <v>28</v>
      </c>
      <c r="B10" s="14"/>
      <c r="E10" s="15"/>
    </row>
    <row r="11" spans="1:6" ht="94.5" customHeight="1" x14ac:dyDescent="0.25">
      <c r="A11" s="16" t="s">
        <v>29</v>
      </c>
      <c r="B11" s="27" t="s">
        <v>35</v>
      </c>
      <c r="C11" s="28"/>
      <c r="D11" s="28"/>
      <c r="E11" s="29"/>
    </row>
    <row r="12" spans="1:6" ht="63" customHeight="1" x14ac:dyDescent="0.25">
      <c r="A12" s="16" t="s">
        <v>30</v>
      </c>
      <c r="B12" s="27" t="s">
        <v>36</v>
      </c>
      <c r="C12" s="28"/>
      <c r="D12" s="28"/>
      <c r="E12" s="29"/>
    </row>
    <row r="13" spans="1:6" s="12" customFormat="1" ht="61.5" customHeight="1" x14ac:dyDescent="0.25">
      <c r="A13" s="16" t="s">
        <v>31</v>
      </c>
      <c r="B13" s="27" t="s">
        <v>41</v>
      </c>
      <c r="C13" s="28"/>
      <c r="D13" s="28"/>
      <c r="E13" s="29"/>
      <c r="F13" s="18"/>
    </row>
    <row r="14" spans="1:6" s="12" customFormat="1" ht="61.5" customHeight="1" x14ac:dyDescent="0.25">
      <c r="A14" s="16" t="s">
        <v>32</v>
      </c>
      <c r="B14" s="27" t="s">
        <v>42</v>
      </c>
      <c r="C14" s="28"/>
      <c r="D14" s="28"/>
      <c r="E14" s="29"/>
      <c r="F14" s="18"/>
    </row>
    <row r="15" spans="1:6" s="12" customFormat="1" ht="61.5" customHeight="1" x14ac:dyDescent="0.25">
      <c r="A15" s="16" t="s">
        <v>33</v>
      </c>
      <c r="B15" s="27" t="s">
        <v>37</v>
      </c>
      <c r="C15" s="28"/>
      <c r="D15" s="28"/>
      <c r="E15" s="29"/>
      <c r="F15" s="18"/>
    </row>
    <row r="16" spans="1:6" s="12" customFormat="1" ht="61.5" customHeight="1" x14ac:dyDescent="0.25">
      <c r="A16" s="16" t="s">
        <v>34</v>
      </c>
      <c r="B16" s="27" t="s">
        <v>40</v>
      </c>
      <c r="C16" s="28"/>
      <c r="D16" s="28"/>
      <c r="E16" s="29"/>
      <c r="F16" s="18"/>
    </row>
    <row r="17" spans="1:6" s="12" customFormat="1" ht="61.5" customHeight="1" x14ac:dyDescent="0.25">
      <c r="A17"/>
      <c r="B17"/>
      <c r="C17"/>
      <c r="D17"/>
      <c r="E17"/>
      <c r="F17" s="18"/>
    </row>
    <row r="18" spans="1:6" s="12" customFormat="1" ht="73.5" customHeight="1" x14ac:dyDescent="0.25">
      <c r="A18"/>
      <c r="B18"/>
      <c r="C18"/>
      <c r="D18"/>
      <c r="E18"/>
      <c r="F18" s="18"/>
    </row>
  </sheetData>
  <mergeCells count="11">
    <mergeCell ref="A1:E1"/>
    <mergeCell ref="A2:E2"/>
    <mergeCell ref="A3:E3"/>
    <mergeCell ref="A4:E4"/>
    <mergeCell ref="A5:F5"/>
    <mergeCell ref="B16:E16"/>
    <mergeCell ref="B11:E11"/>
    <mergeCell ref="B12:E12"/>
    <mergeCell ref="B13:E13"/>
    <mergeCell ref="B14:E14"/>
    <mergeCell ref="B15:E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REGIÓN IV-COQUIMBO</vt:lpstr>
      <vt:lpstr>FOSAS Y CAMARAS</vt:lpstr>
      <vt:lpstr>REGIÓN V-VALPARAÍSO</vt:lpstr>
      <vt:lpstr>REGIÓN XIIII-METROPOLITANA</vt:lpstr>
      <vt:lpstr>REGIÓN XVI-ÑUBLE</vt:lpstr>
      <vt:lpstr>REGIÓN X-LOS LAGOS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Henriquez Belmar</dc:creator>
  <cp:lastModifiedBy>Juan De la cruz Aroca</cp:lastModifiedBy>
  <cp:lastPrinted>2026-01-27T14:57:53Z</cp:lastPrinted>
  <dcterms:created xsi:type="dcterms:W3CDTF">2025-10-23T13:47:28Z</dcterms:created>
  <dcterms:modified xsi:type="dcterms:W3CDTF">2026-07-24T17:21:44Z</dcterms:modified>
</cp:coreProperties>
</file>