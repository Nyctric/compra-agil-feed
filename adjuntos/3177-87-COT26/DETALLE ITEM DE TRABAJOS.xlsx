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esar\Desktop\COMPRAS 2022-2023-2024-2025-2026\COMPRA AGIL\COMPRA AGIL 2026\TRABAJO DANILO\Baños Gabriela Mistral julio 2026\"/>
    </mc:Choice>
  </mc:AlternateContent>
  <xr:revisionPtr revIDLastSave="0" documentId="13_ncr:1_{EAAA3774-5DB1-4CED-B606-D0B18ED4CD2B}" xr6:coauthVersionLast="47" xr6:coauthVersionMax="47" xr10:uidLastSave="{00000000-0000-0000-0000-000000000000}"/>
  <bookViews>
    <workbookView xWindow="-120" yWindow="-120" windowWidth="26640" windowHeight="14370" xr2:uid="{00000000-000D-0000-FFFF-FFFF00000000}"/>
  </bookViews>
  <sheets>
    <sheet name="MEJORAMIENTO SSHH G.M. (2)" sheetId="14" r:id="rId1"/>
  </sheets>
  <definedNames>
    <definedName name="_xlnm.Print_Area" localSheetId="0">'MEJORAMIENTO SSHH G.M. (2)'!$B$1:$H$40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0" i="14" l="1"/>
  <c r="H19" i="14"/>
  <c r="H22" i="14"/>
  <c r="H23" i="14" s="1"/>
  <c r="H16" i="14"/>
  <c r="H15" i="14"/>
  <c r="H14" i="14"/>
  <c r="H13" i="14"/>
  <c r="H10" i="14"/>
  <c r="H9" i="14"/>
  <c r="H21" i="14" l="1"/>
  <c r="H11" i="14"/>
  <c r="H17" i="14"/>
  <c r="H24" i="14" l="1"/>
  <c r="H25" i="14" s="1"/>
  <c r="H26" i="14" s="1"/>
  <c r="H27" i="14" l="1"/>
</calcChain>
</file>

<file path=xl/sharedStrings.xml><?xml version="1.0" encoding="utf-8"?>
<sst xmlns="http://schemas.openxmlformats.org/spreadsheetml/2006/main" count="59" uniqueCount="53">
  <si>
    <t>TOTAL</t>
  </si>
  <si>
    <t>Cantidad</t>
  </si>
  <si>
    <t>Descripción</t>
  </si>
  <si>
    <t>Valor Unitario</t>
  </si>
  <si>
    <t>Total</t>
  </si>
  <si>
    <t>Unidad</t>
  </si>
  <si>
    <t>m2</t>
  </si>
  <si>
    <t>Retiro de inodoros existentes</t>
  </si>
  <si>
    <t>Modificación de red sanitaria para eliminación de fluxómetro y adaptación a sistema fitting</t>
  </si>
  <si>
    <t>Suministro e instalación de inodoro con fitting y asiento reforzado</t>
  </si>
  <si>
    <t>Adecuación red sanitaria para nuevos urinarios</t>
  </si>
  <si>
    <t>Suministro e instalación de urinario individual con grifería temporizada</t>
  </si>
  <si>
    <t>gl</t>
  </si>
  <si>
    <t>un</t>
  </si>
  <si>
    <t>COSTO DIRECTO</t>
  </si>
  <si>
    <t>GG Y UTILIDADES 15%</t>
  </si>
  <si>
    <t>NETO</t>
  </si>
  <si>
    <t>IVA 19%</t>
  </si>
  <si>
    <t>OBRAS PREVIAS</t>
  </si>
  <si>
    <t>1.0</t>
  </si>
  <si>
    <t>INSTALACIONES SANITARIAS</t>
  </si>
  <si>
    <t>2.0</t>
  </si>
  <si>
    <t>3.0</t>
  </si>
  <si>
    <t>4.0</t>
  </si>
  <si>
    <t>TERMINACIONES</t>
  </si>
  <si>
    <t>Subtotal 3.0</t>
  </si>
  <si>
    <t>Subtotal 2.0</t>
  </si>
  <si>
    <t>Subtotal 1.0</t>
  </si>
  <si>
    <t>ASEO GENERAL, RETIRO DE ESCOMBROS Y ENTREGA</t>
  </si>
  <si>
    <t>Subtotal 5.0</t>
  </si>
  <si>
    <t>Proyecto</t>
  </si>
  <si>
    <t>O'Higgins</t>
  </si>
  <si>
    <t>Provincia:</t>
  </si>
  <si>
    <t>Cachapoal</t>
  </si>
  <si>
    <t>Ubicación:</t>
  </si>
  <si>
    <t>Comuna:</t>
  </si>
  <si>
    <t>Machali</t>
  </si>
  <si>
    <t>PRESUPUESTO ESTIMATIVO DE OBRA 2026</t>
  </si>
  <si>
    <t xml:space="preserve">“MEJORAMIENTO SSHH ESTABLECIMIENTO EDUCACIONAL GABRIELA MISTRAL, COMUNA DE MACHALI" </t>
  </si>
  <si>
    <t>CASTRO #300</t>
  </si>
  <si>
    <t>Región:</t>
  </si>
  <si>
    <t>1.1</t>
  </si>
  <si>
    <t>1.2</t>
  </si>
  <si>
    <t>2.1</t>
  </si>
  <si>
    <t>2.2</t>
  </si>
  <si>
    <t>2.3</t>
  </si>
  <si>
    <t>2.4</t>
  </si>
  <si>
    <t>3.1</t>
  </si>
  <si>
    <t>3.2</t>
  </si>
  <si>
    <t>Demolición y retiro de urinario colectivo</t>
  </si>
  <si>
    <t>Reposición de cerámica de piso zona urinario</t>
  </si>
  <si>
    <t>Suministro e instalación de Wall Panel 120x240 cm en muro urinario (incluye adhesivo y terminaciones)</t>
  </si>
  <si>
    <t>_____________________________
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</si>
</sst>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C0C0C0"/>
        <bgColor rgb="FFC0C0C0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center"/>
    </xf>
    <xf numFmtId="42" fontId="0" fillId="0" borderId="3" xfId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2" fontId="0" fillId="0" borderId="3" xfId="1" applyFont="1" applyBorder="1" applyAlignment="1">
      <alignment horizontal="center" vertical="center"/>
    </xf>
    <xf numFmtId="42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42" fontId="0" fillId="2" borderId="3" xfId="1" applyFont="1" applyFill="1" applyBorder="1" applyAlignment="1">
      <alignment horizontal="center" vertical="center"/>
    </xf>
    <xf numFmtId="42" fontId="0" fillId="2" borderId="3" xfId="1" applyFont="1" applyFill="1" applyBorder="1" applyAlignment="1">
      <alignment horizontal="right" vertical="center"/>
    </xf>
    <xf numFmtId="42" fontId="2" fillId="0" borderId="3" xfId="1" applyFont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2" fillId="0" borderId="3" xfId="1" applyNumberFormat="1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4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right" vertical="center" wrapText="1"/>
    </xf>
    <xf numFmtId="0" fontId="0" fillId="0" borderId="6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AA4F7-1C1E-4341-8372-40C5C214D769}">
  <sheetPr>
    <pageSetUpPr fitToPage="1"/>
  </sheetPr>
  <dimension ref="A2:AC49"/>
  <sheetViews>
    <sheetView tabSelected="1" topLeftCell="A13" zoomScaleNormal="100" workbookViewId="0">
      <selection activeCell="F32" sqref="F32"/>
    </sheetView>
  </sheetViews>
  <sheetFormatPr baseColWidth="10" defaultRowHeight="15" x14ac:dyDescent="0.25"/>
  <cols>
    <col min="1" max="1" width="5.42578125" style="25" customWidth="1"/>
    <col min="2" max="3" width="11.42578125" style="7"/>
    <col min="5" max="5" width="11.42578125" customWidth="1"/>
    <col min="6" max="6" width="34.5703125" customWidth="1"/>
    <col min="7" max="7" width="13.7109375" style="6" customWidth="1"/>
    <col min="8" max="8" width="13.7109375" style="7" customWidth="1"/>
  </cols>
  <sheetData>
    <row r="2" spans="1:29" ht="33.950000000000003" customHeight="1" x14ac:dyDescent="0.25">
      <c r="A2" s="32" t="s">
        <v>37</v>
      </c>
      <c r="B2" s="32"/>
      <c r="C2" s="32"/>
      <c r="D2" s="32"/>
      <c r="E2" s="32"/>
      <c r="F2" s="32"/>
      <c r="G2" s="32"/>
      <c r="H2" s="32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</row>
    <row r="3" spans="1:29" ht="17.100000000000001" customHeight="1" x14ac:dyDescent="0.25">
      <c r="A3" s="33" t="s">
        <v>30</v>
      </c>
      <c r="B3" s="33"/>
      <c r="C3" s="34" t="s">
        <v>38</v>
      </c>
      <c r="D3" s="34"/>
      <c r="E3" s="34"/>
      <c r="F3" s="34"/>
      <c r="G3" s="20" t="s">
        <v>40</v>
      </c>
      <c r="H3" s="21" t="s">
        <v>31</v>
      </c>
      <c r="I3" s="19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7.100000000000001" customHeight="1" x14ac:dyDescent="0.25">
      <c r="A4" s="33"/>
      <c r="B4" s="33"/>
      <c r="C4" s="34"/>
      <c r="D4" s="34"/>
      <c r="E4" s="34"/>
      <c r="F4" s="34"/>
      <c r="G4" s="20" t="s">
        <v>32</v>
      </c>
      <c r="H4" s="21" t="s">
        <v>33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 spans="1:29" ht="17.100000000000001" customHeight="1" x14ac:dyDescent="0.25">
      <c r="A5" s="33" t="s">
        <v>34</v>
      </c>
      <c r="B5" s="33"/>
      <c r="C5" s="33" t="s">
        <v>39</v>
      </c>
      <c r="D5" s="33"/>
      <c r="E5" s="33"/>
      <c r="F5" s="33"/>
      <c r="G5" s="20" t="s">
        <v>35</v>
      </c>
      <c r="H5" s="21" t="s">
        <v>36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7" spans="1:29" ht="31.5" customHeight="1" x14ac:dyDescent="0.25">
      <c r="A7" s="23"/>
      <c r="B7" s="8" t="s">
        <v>5</v>
      </c>
      <c r="C7" s="8" t="s">
        <v>1</v>
      </c>
      <c r="D7" s="35" t="s">
        <v>2</v>
      </c>
      <c r="E7" s="36"/>
      <c r="F7" s="37"/>
      <c r="G7" s="22" t="s">
        <v>3</v>
      </c>
      <c r="H7" s="3" t="s">
        <v>4</v>
      </c>
    </row>
    <row r="8" spans="1:29" ht="17.100000000000001" customHeight="1" x14ac:dyDescent="0.25">
      <c r="A8" s="15" t="s">
        <v>19</v>
      </c>
      <c r="B8" s="29" t="s">
        <v>18</v>
      </c>
      <c r="C8" s="30"/>
      <c r="D8" s="30"/>
      <c r="E8" s="30"/>
      <c r="F8" s="30"/>
      <c r="G8" s="30"/>
      <c r="H8" s="31"/>
    </row>
    <row r="9" spans="1:29" ht="17.100000000000001" customHeight="1" x14ac:dyDescent="0.25">
      <c r="A9" s="23" t="s">
        <v>41</v>
      </c>
      <c r="B9" s="9" t="s">
        <v>13</v>
      </c>
      <c r="C9" s="4">
        <v>8</v>
      </c>
      <c r="D9" s="26" t="s">
        <v>7</v>
      </c>
      <c r="E9" s="27"/>
      <c r="F9" s="28"/>
      <c r="G9" s="5"/>
      <c r="H9" s="2">
        <f t="shared" ref="H9" si="0">SUM(G9*C9)</f>
        <v>0</v>
      </c>
    </row>
    <row r="10" spans="1:29" ht="17.100000000000001" customHeight="1" x14ac:dyDescent="0.25">
      <c r="A10" s="23" t="s">
        <v>42</v>
      </c>
      <c r="B10" s="9" t="s">
        <v>12</v>
      </c>
      <c r="C10" s="4">
        <v>1</v>
      </c>
      <c r="D10" s="26" t="s">
        <v>49</v>
      </c>
      <c r="E10" s="27"/>
      <c r="F10" s="28"/>
      <c r="G10" s="5"/>
      <c r="H10" s="2">
        <f t="shared" ref="H10" si="1">SUM(G10*C10)</f>
        <v>0</v>
      </c>
    </row>
    <row r="11" spans="1:29" ht="17.100000000000001" customHeight="1" x14ac:dyDescent="0.25">
      <c r="A11" s="38" t="s">
        <v>27</v>
      </c>
      <c r="B11" s="38"/>
      <c r="C11" s="38"/>
      <c r="D11" s="38"/>
      <c r="E11" s="38"/>
      <c r="F11" s="38"/>
      <c r="G11" s="38"/>
      <c r="H11" s="14">
        <f>SUM(H9:H10)</f>
        <v>0</v>
      </c>
    </row>
    <row r="12" spans="1:29" ht="17.100000000000001" customHeight="1" x14ac:dyDescent="0.25">
      <c r="A12" s="15" t="s">
        <v>21</v>
      </c>
      <c r="B12" s="29" t="s">
        <v>20</v>
      </c>
      <c r="C12" s="30"/>
      <c r="D12" s="30"/>
      <c r="E12" s="30"/>
      <c r="F12" s="30"/>
      <c r="G12" s="30"/>
      <c r="H12" s="31"/>
    </row>
    <row r="13" spans="1:29" ht="30" customHeight="1" x14ac:dyDescent="0.25">
      <c r="A13" s="23" t="s">
        <v>43</v>
      </c>
      <c r="B13" s="9" t="s">
        <v>13</v>
      </c>
      <c r="C13" s="4">
        <v>9</v>
      </c>
      <c r="D13" s="39" t="s">
        <v>8</v>
      </c>
      <c r="E13" s="40"/>
      <c r="F13" s="41"/>
      <c r="G13" s="5"/>
      <c r="H13" s="2">
        <f>SUM(G13*C13)</f>
        <v>0</v>
      </c>
    </row>
    <row r="14" spans="1:29" ht="30" customHeight="1" x14ac:dyDescent="0.25">
      <c r="A14" s="23" t="s">
        <v>44</v>
      </c>
      <c r="B14" s="9" t="s">
        <v>13</v>
      </c>
      <c r="C14" s="4">
        <v>9</v>
      </c>
      <c r="D14" s="39" t="s">
        <v>9</v>
      </c>
      <c r="E14" s="40"/>
      <c r="F14" s="41"/>
      <c r="G14" s="5"/>
      <c r="H14" s="2">
        <f>SUM(G14*C14)</f>
        <v>0</v>
      </c>
    </row>
    <row r="15" spans="1:29" ht="17.100000000000001" customHeight="1" x14ac:dyDescent="0.25">
      <c r="A15" s="23" t="s">
        <v>45</v>
      </c>
      <c r="B15" s="9" t="s">
        <v>12</v>
      </c>
      <c r="C15" s="4">
        <v>1</v>
      </c>
      <c r="D15" s="26" t="s">
        <v>10</v>
      </c>
      <c r="E15" s="27"/>
      <c r="F15" s="28"/>
      <c r="G15" s="5"/>
      <c r="H15" s="2">
        <f t="shared" ref="H15:H16" si="2">SUM(G15*C15)</f>
        <v>0</v>
      </c>
    </row>
    <row r="16" spans="1:29" ht="30" customHeight="1" x14ac:dyDescent="0.25">
      <c r="A16" s="23" t="s">
        <v>46</v>
      </c>
      <c r="B16" s="9" t="s">
        <v>13</v>
      </c>
      <c r="C16" s="4">
        <v>3</v>
      </c>
      <c r="D16" s="26" t="s">
        <v>11</v>
      </c>
      <c r="E16" s="27"/>
      <c r="F16" s="28"/>
      <c r="G16" s="5"/>
      <c r="H16" s="2">
        <f t="shared" si="2"/>
        <v>0</v>
      </c>
    </row>
    <row r="17" spans="1:8" ht="17.100000000000001" customHeight="1" x14ac:dyDescent="0.25">
      <c r="A17" s="38" t="s">
        <v>26</v>
      </c>
      <c r="B17" s="38"/>
      <c r="C17" s="38"/>
      <c r="D17" s="38"/>
      <c r="E17" s="38"/>
      <c r="F17" s="38"/>
      <c r="G17" s="38"/>
      <c r="H17" s="14">
        <f>SUM(H13:H16)</f>
        <v>0</v>
      </c>
    </row>
    <row r="18" spans="1:8" ht="17.100000000000001" customHeight="1" x14ac:dyDescent="0.25">
      <c r="A18" s="15" t="s">
        <v>22</v>
      </c>
      <c r="B18" s="29" t="s">
        <v>24</v>
      </c>
      <c r="C18" s="30"/>
      <c r="D18" s="30"/>
      <c r="E18" s="30"/>
      <c r="F18" s="30"/>
      <c r="G18" s="30"/>
      <c r="H18" s="31"/>
    </row>
    <row r="19" spans="1:8" ht="17.100000000000001" customHeight="1" x14ac:dyDescent="0.25">
      <c r="A19" s="9" t="s">
        <v>47</v>
      </c>
      <c r="B19" s="9" t="s">
        <v>6</v>
      </c>
      <c r="C19" s="4">
        <v>1.5</v>
      </c>
      <c r="D19" s="39" t="s">
        <v>50</v>
      </c>
      <c r="E19" s="40"/>
      <c r="F19" s="41"/>
      <c r="G19" s="5"/>
      <c r="H19" s="2">
        <f t="shared" ref="H19" si="3">SUM(G19*C19)</f>
        <v>0</v>
      </c>
    </row>
    <row r="20" spans="1:8" ht="30" customHeight="1" x14ac:dyDescent="0.25">
      <c r="A20" s="9" t="s">
        <v>48</v>
      </c>
      <c r="B20" s="9" t="s">
        <v>6</v>
      </c>
      <c r="C20" s="4">
        <v>6</v>
      </c>
      <c r="D20" s="39" t="s">
        <v>51</v>
      </c>
      <c r="E20" s="40"/>
      <c r="F20" s="41"/>
      <c r="G20" s="5"/>
      <c r="H20" s="2">
        <f t="shared" ref="H20" si="4">SUM(G20*C20)</f>
        <v>0</v>
      </c>
    </row>
    <row r="21" spans="1:8" ht="17.100000000000001" customHeight="1" x14ac:dyDescent="0.25">
      <c r="A21" s="38" t="s">
        <v>25</v>
      </c>
      <c r="B21" s="38"/>
      <c r="C21" s="38"/>
      <c r="D21" s="38"/>
      <c r="E21" s="38"/>
      <c r="F21" s="38"/>
      <c r="G21" s="38"/>
      <c r="H21" s="14">
        <f>SUM(H19:H20)</f>
        <v>0</v>
      </c>
    </row>
    <row r="22" spans="1:8" ht="17.100000000000001" customHeight="1" x14ac:dyDescent="0.25">
      <c r="A22" s="15" t="s">
        <v>23</v>
      </c>
      <c r="B22" s="10" t="s">
        <v>12</v>
      </c>
      <c r="C22" s="11">
        <v>1</v>
      </c>
      <c r="D22" s="29" t="s">
        <v>28</v>
      </c>
      <c r="E22" s="30"/>
      <c r="F22" s="31"/>
      <c r="G22" s="12"/>
      <c r="H22" s="13">
        <f>SUM(G22*C22)</f>
        <v>0</v>
      </c>
    </row>
    <row r="23" spans="1:8" ht="17.100000000000001" customHeight="1" x14ac:dyDescent="0.25">
      <c r="A23" s="38" t="s">
        <v>29</v>
      </c>
      <c r="B23" s="38"/>
      <c r="C23" s="38"/>
      <c r="D23" s="38"/>
      <c r="E23" s="38"/>
      <c r="F23" s="38"/>
      <c r="G23" s="38"/>
      <c r="H23" s="14">
        <f>SUM(H22)</f>
        <v>0</v>
      </c>
    </row>
    <row r="24" spans="1:8" ht="17.100000000000001" customHeight="1" x14ac:dyDescent="0.25">
      <c r="A24" s="24"/>
      <c r="B24" s="47" t="s">
        <v>14</v>
      </c>
      <c r="C24" s="48"/>
      <c r="D24" s="48"/>
      <c r="E24" s="48"/>
      <c r="F24" s="48"/>
      <c r="G24" s="49"/>
      <c r="H24" s="2">
        <f>SUM(H11+H17+H21+H23)</f>
        <v>0</v>
      </c>
    </row>
    <row r="25" spans="1:8" ht="17.100000000000001" customHeight="1" x14ac:dyDescent="0.25">
      <c r="A25" s="24"/>
      <c r="B25" s="50" t="s">
        <v>15</v>
      </c>
      <c r="C25" s="51"/>
      <c r="D25" s="51"/>
      <c r="E25" s="51"/>
      <c r="F25" s="51"/>
      <c r="G25" s="52"/>
      <c r="H25" s="2">
        <f>SUM(H24*0.2)</f>
        <v>0</v>
      </c>
    </row>
    <row r="26" spans="1:8" ht="17.100000000000001" customHeight="1" x14ac:dyDescent="0.25">
      <c r="A26" s="24"/>
      <c r="B26" s="50" t="s">
        <v>16</v>
      </c>
      <c r="C26" s="51"/>
      <c r="D26" s="51"/>
      <c r="E26" s="51"/>
      <c r="F26" s="51"/>
      <c r="G26" s="52"/>
      <c r="H26" s="2">
        <f>SUM(H24:H25)</f>
        <v>0</v>
      </c>
    </row>
    <row r="27" spans="1:8" ht="17.100000000000001" customHeight="1" x14ac:dyDescent="0.25">
      <c r="A27" s="24"/>
      <c r="B27" s="50" t="s">
        <v>17</v>
      </c>
      <c r="C27" s="51"/>
      <c r="D27" s="51"/>
      <c r="E27" s="51"/>
      <c r="F27" s="51"/>
      <c r="G27" s="52"/>
      <c r="H27" s="2">
        <f>SUM(H26*0.19)</f>
        <v>0</v>
      </c>
    </row>
    <row r="28" spans="1:8" ht="17.100000000000001" customHeight="1" x14ac:dyDescent="0.25">
      <c r="A28" s="24"/>
      <c r="B28" s="42" t="s">
        <v>0</v>
      </c>
      <c r="C28" s="43"/>
      <c r="D28" s="43"/>
      <c r="E28" s="43"/>
      <c r="F28" s="43"/>
      <c r="G28" s="44"/>
      <c r="H28" s="14"/>
    </row>
    <row r="29" spans="1:8" x14ac:dyDescent="0.25">
      <c r="D29" s="1"/>
      <c r="E29" s="1"/>
      <c r="F29" s="1"/>
    </row>
    <row r="30" spans="1:8" x14ac:dyDescent="0.25">
      <c r="D30" s="1"/>
      <c r="E30" s="1"/>
      <c r="F30" s="1"/>
    </row>
    <row r="31" spans="1:8" x14ac:dyDescent="0.25">
      <c r="D31" s="1"/>
      <c r="E31" s="1"/>
      <c r="F31" s="1"/>
    </row>
    <row r="32" spans="1:8" x14ac:dyDescent="0.25">
      <c r="D32" s="1"/>
      <c r="E32" s="1"/>
      <c r="F32" s="1"/>
    </row>
    <row r="33" spans="1:29" s="6" customFormat="1" x14ac:dyDescent="0.25">
      <c r="A33" s="25"/>
      <c r="B33" s="7"/>
      <c r="C33" s="7"/>
      <c r="D33" s="1"/>
      <c r="E33" s="1"/>
      <c r="F33" s="1"/>
      <c r="H33" s="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 spans="1:29" s="6" customFormat="1" x14ac:dyDescent="0.25">
      <c r="A34" s="25"/>
      <c r="B34" s="7"/>
      <c r="C34" s="7"/>
      <c r="D34" s="1"/>
      <c r="E34" s="1"/>
      <c r="F34" s="1"/>
      <c r="H34" s="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 spans="1:29" s="6" customFormat="1" x14ac:dyDescent="0.25">
      <c r="A35" s="25"/>
      <c r="B35" s="7"/>
      <c r="C35" s="7"/>
      <c r="D35" s="45" t="s">
        <v>52</v>
      </c>
      <c r="E35" s="46"/>
      <c r="F35" s="46"/>
      <c r="H35" s="7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 spans="1:29" s="6" customFormat="1" x14ac:dyDescent="0.25">
      <c r="A36" s="25"/>
      <c r="B36" s="7"/>
      <c r="C36" s="7"/>
      <c r="D36" s="46"/>
      <c r="E36" s="46"/>
      <c r="F36" s="46"/>
      <c r="H36" s="7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 spans="1:29" s="6" customFormat="1" x14ac:dyDescent="0.25">
      <c r="A37" s="25"/>
      <c r="B37" s="7"/>
      <c r="C37" s="7"/>
      <c r="D37" s="1"/>
      <c r="E37" s="1"/>
      <c r="F37" s="1"/>
      <c r="H37" s="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 spans="1:29" s="6" customFormat="1" x14ac:dyDescent="0.25">
      <c r="A38" s="25"/>
      <c r="B38" s="7"/>
      <c r="C38" s="7"/>
      <c r="D38" s="1"/>
      <c r="E38" s="1"/>
      <c r="F38" s="1"/>
      <c r="H38" s="7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 spans="1:29" s="6" customFormat="1" x14ac:dyDescent="0.25">
      <c r="A39" s="25"/>
      <c r="B39" s="7"/>
      <c r="C39" s="7"/>
      <c r="D39" s="1"/>
      <c r="E39" s="1"/>
      <c r="F39" s="1"/>
      <c r="H39" s="7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 spans="1:29" s="6" customFormat="1" x14ac:dyDescent="0.25">
      <c r="A40" s="25"/>
      <c r="B40" s="7"/>
      <c r="C40" s="7"/>
      <c r="D40" s="1"/>
      <c r="E40" s="1"/>
      <c r="F40" s="1"/>
      <c r="H40" s="7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 spans="1:29" s="6" customFormat="1" x14ac:dyDescent="0.25">
      <c r="A41" s="25"/>
      <c r="B41" s="7"/>
      <c r="C41" s="7"/>
      <c r="D41" s="1"/>
      <c r="E41" s="1"/>
      <c r="F41" s="1"/>
      <c r="H41" s="7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 spans="1:29" s="6" customFormat="1" x14ac:dyDescent="0.25">
      <c r="A42" s="25"/>
      <c r="B42" s="7"/>
      <c r="C42" s="7"/>
      <c r="D42" s="1"/>
      <c r="E42" s="1"/>
      <c r="F42" s="1"/>
      <c r="H42" s="7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 spans="1:29" s="6" customFormat="1" x14ac:dyDescent="0.25">
      <c r="A43" s="25"/>
      <c r="B43" s="7"/>
      <c r="C43" s="7"/>
      <c r="D43" s="1"/>
      <c r="E43" s="1"/>
      <c r="F43" s="1"/>
      <c r="H43" s="7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 spans="1:29" s="6" customFormat="1" x14ac:dyDescent="0.25">
      <c r="A44" s="25"/>
      <c r="B44" s="7"/>
      <c r="C44" s="7"/>
      <c r="D44" s="1"/>
      <c r="E44" s="1"/>
      <c r="F44" s="1"/>
      <c r="H44" s="7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 spans="1:29" s="6" customFormat="1" x14ac:dyDescent="0.25">
      <c r="A45" s="25"/>
      <c r="B45" s="7"/>
      <c r="C45" s="7"/>
      <c r="D45" s="1"/>
      <c r="E45" s="1"/>
      <c r="F45" s="1"/>
      <c r="H45" s="7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 spans="1:29" s="6" customFormat="1" x14ac:dyDescent="0.25">
      <c r="A46" s="25"/>
      <c r="B46" s="7"/>
      <c r="C46" s="7"/>
      <c r="D46" s="1"/>
      <c r="E46" s="1"/>
      <c r="F46" s="1"/>
      <c r="H46" s="7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 spans="1:29" s="6" customFormat="1" x14ac:dyDescent="0.25">
      <c r="A47" s="25"/>
      <c r="B47" s="7"/>
      <c r="C47" s="7"/>
      <c r="D47" s="1"/>
      <c r="E47" s="1"/>
      <c r="F47" s="1"/>
      <c r="H47" s="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 spans="1:29" s="6" customFormat="1" x14ac:dyDescent="0.25">
      <c r="A48" s="25"/>
      <c r="B48" s="7"/>
      <c r="C48" s="7"/>
      <c r="D48" s="1"/>
      <c r="E48" s="1"/>
      <c r="F48" s="1"/>
      <c r="H48" s="7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 spans="1:29" s="6" customFormat="1" x14ac:dyDescent="0.25">
      <c r="A49" s="25"/>
      <c r="B49" s="7"/>
      <c r="C49" s="7"/>
      <c r="D49" s="1"/>
      <c r="E49" s="1"/>
      <c r="F49" s="1"/>
      <c r="H49" s="7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</sheetData>
  <mergeCells count="28">
    <mergeCell ref="B28:G28"/>
    <mergeCell ref="D35:F36"/>
    <mergeCell ref="D22:F22"/>
    <mergeCell ref="A23:G23"/>
    <mergeCell ref="B24:G24"/>
    <mergeCell ref="B25:G25"/>
    <mergeCell ref="B26:G26"/>
    <mergeCell ref="B27:G27"/>
    <mergeCell ref="B18:H18"/>
    <mergeCell ref="D19:F19"/>
    <mergeCell ref="A21:G21"/>
    <mergeCell ref="D20:F20"/>
    <mergeCell ref="D16:F16"/>
    <mergeCell ref="A17:G17"/>
    <mergeCell ref="D15:F15"/>
    <mergeCell ref="B8:H8"/>
    <mergeCell ref="D9:F9"/>
    <mergeCell ref="A2:H2"/>
    <mergeCell ref="A3:B4"/>
    <mergeCell ref="C3:F4"/>
    <mergeCell ref="A5:B5"/>
    <mergeCell ref="C5:F5"/>
    <mergeCell ref="D7:F7"/>
    <mergeCell ref="D10:F10"/>
    <mergeCell ref="A11:G11"/>
    <mergeCell ref="B12:H12"/>
    <mergeCell ref="D13:F13"/>
    <mergeCell ref="D14:F14"/>
  </mergeCells>
  <printOptions horizontalCentered="1"/>
  <pageMargins left="0.25" right="0.25" top="0.75" bottom="0.75" header="0.3" footer="0.3"/>
  <pageSetup paperSize="5"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MEJORAMIENTO SSHH G.M. (2)</vt:lpstr>
      <vt:lpstr>'MEJORAMIENTO SSHH G.M.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</dc:creator>
  <cp:lastModifiedBy>Cesar Carrasco</cp:lastModifiedBy>
  <cp:lastPrinted>2026-07-09T20:16:53Z</cp:lastPrinted>
  <dcterms:created xsi:type="dcterms:W3CDTF">2025-10-16T19:15:35Z</dcterms:created>
  <dcterms:modified xsi:type="dcterms:W3CDTF">2026-07-10T15:29:16Z</dcterms:modified>
</cp:coreProperties>
</file>