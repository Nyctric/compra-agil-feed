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BSTSERVER\Users\Public\Documents\ADQUISICIONES2025\ARAVENA\COMPRA AGIL\"/>
    </mc:Choice>
  </mc:AlternateContent>
  <xr:revisionPtr revIDLastSave="0" documentId="8_{158EFB06-C0EE-417E-9189-A28792C3D893}" xr6:coauthVersionLast="47" xr6:coauthVersionMax="47" xr10:uidLastSave="{00000000-0000-0000-0000-000000000000}"/>
  <bookViews>
    <workbookView xWindow="-120" yWindow="-120" windowWidth="29040" windowHeight="15720" tabRatio="901" firstSheet="12" activeTab="12" xr2:uid="{00000000-000D-0000-FFFF-FFFF00000000}"/>
  </bookViews>
  <sheets>
    <sheet name="SOLIC.ADQU. (1)" sheetId="30" state="hidden" r:id="rId1"/>
    <sheet name="SOLIC.ADQU. (2)" sheetId="31" state="hidden" r:id="rId2"/>
    <sheet name="FACTURAS2" sheetId="37" state="hidden" r:id="rId3"/>
    <sheet name="FACTURAS" sheetId="38" state="hidden" r:id="rId4"/>
    <sheet name="BOLETAS ELECTRONICAS" sheetId="39" state="hidden" r:id="rId5"/>
    <sheet name="BOLETAS EXENTAS" sheetId="40" state="hidden" r:id="rId6"/>
    <sheet name="SOLIC.ADQU. .11" sheetId="36" state="hidden" r:id="rId7"/>
    <sheet name="SOLIC.ADQU. (5)" sheetId="35" state="hidden" r:id="rId8"/>
    <sheet name="SOLIC.ADQU. (3)" sheetId="32" state="hidden" r:id="rId9"/>
    <sheet name="SOLIC.ADQU. (4)" sheetId="33" state="hidden" r:id="rId10"/>
    <sheet name="DACA 64" sheetId="29" state="hidden" r:id="rId11"/>
    <sheet name="BAÑOS 2° PISO" sheetId="34" state="hidden" r:id="rId12"/>
    <sheet name="cotizacion" sheetId="253" r:id="rId13"/>
    <sheet name="Hoja1" sheetId="254" r:id="rId14"/>
  </sheets>
  <definedNames>
    <definedName name="_xlnm.Print_Area" localSheetId="11">'BAÑOS 2° PISO'!$A$2:$G$41</definedName>
    <definedName name="_xlnm.Print_Area" localSheetId="4">'BOLETAS ELECTRONICAS'!$A$1:$L$49</definedName>
    <definedName name="_xlnm.Print_Area" localSheetId="5">'BOLETAS EXENTAS'!$A$1:$L$49</definedName>
    <definedName name="_xlnm.Print_Area" localSheetId="10">'DACA 64'!$A$2:$G$52</definedName>
    <definedName name="_xlnm.Print_Area" localSheetId="3">FACTURAS!$A$1:$L$49</definedName>
    <definedName name="_xlnm.Print_Area" localSheetId="2">FACTURAS2!$A$1:$L$49</definedName>
    <definedName name="_xlnm.Print_Area" localSheetId="0">'SOLIC.ADQU. (1)'!$A$1:$L$49</definedName>
    <definedName name="_xlnm.Print_Area" localSheetId="1">'SOLIC.ADQU. (2)'!$A$1:$L$49</definedName>
    <definedName name="_xlnm.Print_Area" localSheetId="8">'SOLIC.ADQU. (3)'!$A$1:$L$49</definedName>
    <definedName name="_xlnm.Print_Area" localSheetId="9">'SOLIC.ADQU. (4)'!$A$1:$L$49</definedName>
    <definedName name="_xlnm.Print_Area" localSheetId="7">'SOLIC.ADQU. (5)'!$A$1:$L$49</definedName>
    <definedName name="_xlnm.Print_Area" localSheetId="6">'SOLIC.ADQU. .11'!$A$1:$L$49</definedName>
  </definedNames>
  <calcPr calcId="181029"/>
  <fileRecoveryPr autoRecover="0"/>
</workbook>
</file>

<file path=xl/calcChain.xml><?xml version="1.0" encoding="utf-8"?>
<calcChain xmlns="http://schemas.openxmlformats.org/spreadsheetml/2006/main">
  <c r="G30" i="253" l="1"/>
  <c r="H30" i="253" s="1"/>
  <c r="H29" i="253"/>
  <c r="G29" i="253"/>
  <c r="G13" i="253" l="1"/>
  <c r="H13" i="253" s="1"/>
  <c r="G14" i="253"/>
  <c r="H14" i="253" s="1"/>
  <c r="G15" i="253"/>
  <c r="H15" i="253" s="1"/>
  <c r="G16" i="253"/>
  <c r="H16" i="253" s="1"/>
  <c r="G17" i="253"/>
  <c r="H17" i="253" s="1"/>
  <c r="G18" i="253"/>
  <c r="H18" i="253" s="1"/>
  <c r="G19" i="253"/>
  <c r="H19" i="253" s="1"/>
  <c r="G20" i="253"/>
  <c r="H20" i="253" s="1"/>
  <c r="G21" i="253"/>
  <c r="H21" i="253" s="1"/>
  <c r="G22" i="253"/>
  <c r="H22" i="253" s="1"/>
  <c r="G23" i="253"/>
  <c r="H23" i="253" s="1"/>
  <c r="G24" i="253"/>
  <c r="H24" i="253" s="1"/>
  <c r="G25" i="253"/>
  <c r="H25" i="253" s="1"/>
  <c r="G26" i="253"/>
  <c r="H26" i="253" s="1"/>
  <c r="G27" i="253"/>
  <c r="H27" i="253" s="1"/>
  <c r="G28" i="253"/>
  <c r="H28" i="253" s="1"/>
  <c r="G31" i="253"/>
  <c r="H31" i="253" s="1"/>
  <c r="G32" i="253"/>
  <c r="H32" i="253" s="1"/>
  <c r="G33" i="253"/>
  <c r="H33" i="253" s="1"/>
  <c r="G12" i="253"/>
  <c r="H12" i="253" s="1"/>
  <c r="B22" i="33"/>
  <c r="B23" i="33" s="1"/>
  <c r="B24" i="33" s="1"/>
  <c r="B25" i="33" s="1"/>
  <c r="B26" i="33" s="1"/>
  <c r="B27" i="33" s="1"/>
  <c r="B28" i="33" s="1"/>
  <c r="B29" i="33" s="1"/>
  <c r="B30" i="33" s="1"/>
  <c r="B22" i="32"/>
  <c r="B23" i="32" s="1"/>
  <c r="B24" i="32" s="1"/>
  <c r="B25" i="32" s="1"/>
  <c r="B26" i="32" s="1"/>
  <c r="B27" i="32" s="1"/>
  <c r="B28" i="32" s="1"/>
  <c r="B29" i="32" s="1"/>
  <c r="B30" i="32" s="1"/>
  <c r="B22" i="35"/>
  <c r="B23" i="35"/>
  <c r="B24" i="35"/>
  <c r="B25" i="35"/>
  <c r="B26" i="35" s="1"/>
  <c r="B27" i="35" s="1"/>
  <c r="B28" i="35" s="1"/>
  <c r="B29" i="35" s="1"/>
  <c r="B30" i="35" s="1"/>
  <c r="B22" i="36"/>
  <c r="B23" i="36" s="1"/>
  <c r="B24" i="36" s="1"/>
  <c r="B25" i="36" s="1"/>
  <c r="B26" i="36" s="1"/>
  <c r="B27" i="36" s="1"/>
  <c r="B28" i="36" s="1"/>
  <c r="B29" i="36" s="1"/>
  <c r="B30" i="36" s="1"/>
  <c r="B22" i="40"/>
  <c r="B23" i="40" s="1"/>
  <c r="B24" i="40" s="1"/>
  <c r="B25" i="40" s="1"/>
  <c r="B26" i="40" s="1"/>
  <c r="B27" i="40" s="1"/>
  <c r="B28" i="40" s="1"/>
  <c r="B29" i="40" s="1"/>
  <c r="B30" i="40" s="1"/>
  <c r="B22" i="39"/>
  <c r="B23" i="39" s="1"/>
  <c r="B24" i="39" s="1"/>
  <c r="B25" i="39" s="1"/>
  <c r="B26" i="39" s="1"/>
  <c r="B27" i="39" s="1"/>
  <c r="B28" i="39" s="1"/>
  <c r="B29" i="39" s="1"/>
  <c r="B30" i="39" s="1"/>
  <c r="B22" i="38"/>
  <c r="B23" i="38"/>
  <c r="B24" i="38"/>
  <c r="B25" i="38"/>
  <c r="B26" i="38" s="1"/>
  <c r="B27" i="38" s="1"/>
  <c r="B28" i="38" s="1"/>
  <c r="B29" i="38" s="1"/>
  <c r="B30" i="38" s="1"/>
  <c r="B22" i="37"/>
  <c r="B23" i="37"/>
  <c r="B24" i="37"/>
  <c r="B25" i="37"/>
  <c r="B26" i="37"/>
  <c r="B27" i="37"/>
  <c r="B28" i="37"/>
  <c r="B29" i="37" s="1"/>
  <c r="B30" i="37" s="1"/>
  <c r="B22" i="31"/>
  <c r="B23" i="31"/>
  <c r="B24" i="31"/>
  <c r="B25" i="31"/>
  <c r="B26" i="31"/>
  <c r="B27" i="31"/>
  <c r="B28" i="31"/>
  <c r="B29" i="31"/>
  <c r="B30" i="31"/>
  <c r="B22" i="30"/>
  <c r="B23" i="30" s="1"/>
  <c r="B24" i="30" s="1"/>
  <c r="B25" i="30" s="1"/>
  <c r="B26" i="30" s="1"/>
  <c r="B27" i="30" s="1"/>
  <c r="B28" i="30" s="1"/>
  <c r="B29" i="30" s="1"/>
  <c r="B30" i="30" s="1"/>
  <c r="H34" i="253" l="1"/>
  <c r="H35" i="253" s="1"/>
  <c r="H36" i="253" s="1"/>
</calcChain>
</file>

<file path=xl/sharedStrings.xml><?xml version="1.0" encoding="utf-8"?>
<sst xmlns="http://schemas.openxmlformats.org/spreadsheetml/2006/main" count="568" uniqueCount="201">
  <si>
    <t>ARMADA DE CHILE</t>
  </si>
  <si>
    <t xml:space="preserve"> </t>
  </si>
  <si>
    <t>DESCRIPCIÓN</t>
  </si>
  <si>
    <t>FECHA RECEPCIÓN DOCUMENTO _______________________</t>
  </si>
  <si>
    <t>EN OFICINA ADQUISICIÓN</t>
  </si>
  <si>
    <t>Cant.</t>
  </si>
  <si>
    <t>TENIENTE 1º AB</t>
  </si>
  <si>
    <t>DEPTO. BTAR. SOCIAL (T.)</t>
  </si>
  <si>
    <t>IIA ZONA NAVAL</t>
  </si>
  <si>
    <t>DEL :</t>
  </si>
  <si>
    <t xml:space="preserve">S O L I C I T U D        D E    A D Q U I S I C I Ó N </t>
  </si>
  <si>
    <t xml:space="preserve">SOLICITUD Nº: </t>
  </si>
  <si>
    <t>Solicito a Ud., autorizar la adquisición del material que se indica para:</t>
  </si>
  <si>
    <t>FINANCIAMIENTO :</t>
  </si>
  <si>
    <t>CENT. COSTO:</t>
  </si>
  <si>
    <t>SUB-JEFE DEPTO. BTAR. SOC. (T.)</t>
  </si>
  <si>
    <t>JEFE AREA SOLICITANTE</t>
  </si>
  <si>
    <t>Vº         Bº</t>
  </si>
  <si>
    <t>PRIORIDAD:</t>
  </si>
  <si>
    <t>Item</t>
  </si>
  <si>
    <t>Unidad</t>
  </si>
  <si>
    <t>JEFE DEPTO. AB. Y FZAS.</t>
  </si>
  <si>
    <t>SERVICIO DE LA ARMADA</t>
  </si>
  <si>
    <t>PAPELETA DE PEDIDO DE CONSUMO Y REPUESTOS</t>
  </si>
  <si>
    <t>Centro de Consumo</t>
  </si>
  <si>
    <t>CANT.</t>
  </si>
  <si>
    <t>UNIDAD</t>
  </si>
  <si>
    <t>Nº</t>
  </si>
  <si>
    <t>Talcahuano,</t>
  </si>
  <si>
    <t>JEFE DEPTO. AB. Y FINANZAS</t>
  </si>
  <si>
    <t>CAPITAN DE CORBETA</t>
  </si>
  <si>
    <t>ENCARGADO</t>
  </si>
  <si>
    <t>BORIS ARGANDOÑA CASTRO</t>
  </si>
  <si>
    <t xml:space="preserve">AL SR:  </t>
  </si>
  <si>
    <t>Departamento:</t>
  </si>
  <si>
    <t>Cargo      _______________________</t>
  </si>
  <si>
    <t>CÓDIGO ARTÍCULO</t>
  </si>
  <si>
    <t>D.A.B.A. 64- ORDINARIO</t>
  </si>
  <si>
    <t>ARTÍCULOS</t>
  </si>
  <si>
    <t>EXIST.</t>
  </si>
  <si>
    <t>V º  B º</t>
  </si>
  <si>
    <t>Nº ORDEN:</t>
  </si>
  <si>
    <t>artículos, para ser empleados en mi Departamento o Cargo.</t>
  </si>
  <si>
    <t>Recibí del Jefe del Departamento de Abastecimiento y finanzas, los siguientes</t>
  </si>
  <si>
    <t>DANIEL BERARDI JOHNSON</t>
  </si>
  <si>
    <t>SUBJEFE DEPTO. BTAR. SOC.(T.)</t>
  </si>
  <si>
    <t>Finanzas</t>
  </si>
  <si>
    <t>1010601.-</t>
  </si>
  <si>
    <t>Analista de Cuenta</t>
  </si>
  <si>
    <t>Papel Fotocopia Oficio</t>
  </si>
  <si>
    <t>RM</t>
  </si>
  <si>
    <t>004006-002.-</t>
  </si>
  <si>
    <t>Papel Fotocopia Carta</t>
  </si>
  <si>
    <t>004006-003.-</t>
  </si>
  <si>
    <t>NR</t>
  </si>
  <si>
    <t>Pegamento Stic-Fix</t>
  </si>
  <si>
    <t>FC</t>
  </si>
  <si>
    <t>004019-001.-</t>
  </si>
  <si>
    <t>Caja de Clips</t>
  </si>
  <si>
    <t>004021-001.-</t>
  </si>
  <si>
    <t>Paño Limpia Muebles</t>
  </si>
  <si>
    <t>005006-001.-</t>
  </si>
  <si>
    <t>Caja de Corchetes 26-6</t>
  </si>
  <si>
    <t>004001-001.-</t>
  </si>
  <si>
    <t>Acco Clips</t>
  </si>
  <si>
    <t>004021-004.-</t>
  </si>
  <si>
    <t>CJ</t>
  </si>
  <si>
    <t xml:space="preserve">     FLOR  HIDALGO MARQUEZ</t>
  </si>
  <si>
    <t>Lápiz pasta Negro</t>
  </si>
  <si>
    <t>004002-004.-</t>
  </si>
  <si>
    <t>Taco Comun</t>
  </si>
  <si>
    <t>004004-005.-</t>
  </si>
  <si>
    <t>Carpetas Comunes</t>
  </si>
  <si>
    <t>004013-003.-</t>
  </si>
  <si>
    <t>Carpetas Transparente Oficio</t>
  </si>
  <si>
    <t>004013-005.-</t>
  </si>
  <si>
    <t>Tinta Para Tampón</t>
  </si>
  <si>
    <t>004019-010.-</t>
  </si>
  <si>
    <t>Post-it Chico</t>
  </si>
  <si>
    <t>004004-002.-</t>
  </si>
  <si>
    <t>Cinta Scotch Chico</t>
  </si>
  <si>
    <t>RO</t>
  </si>
  <si>
    <t>004017-002.-</t>
  </si>
  <si>
    <t>JEFE CONTABILIDAD COMERCIAL</t>
  </si>
  <si>
    <t>SUB-JEFE DEPTO. BTAR SOCIAL (T.)</t>
  </si>
  <si>
    <t>FRANCISCO BENAVIDES VIDAL</t>
  </si>
  <si>
    <t>LUIS GUZMÁN PÉREZ</t>
  </si>
  <si>
    <t>CAPITÁN DE FRAGATA IM</t>
  </si>
  <si>
    <t>DUPLICADA, CALCO QUIMICO, TALONARIO DE 50 JUEGOS CADA UNO</t>
  </si>
  <si>
    <t>(SE ADJUNTA MUESTRA)</t>
  </si>
  <si>
    <t>SUBROGANTE</t>
  </si>
  <si>
    <t>DUPLICADA, CALCO QUIMICO.</t>
  </si>
  <si>
    <t>GUIAS DE DESPACHO DE COMBUSTIBLE DE LAS FF.AA. Y DE ORDEN DEL</t>
  </si>
  <si>
    <t>CADA UNO (SE ADJUNTA MUESTRA).-</t>
  </si>
  <si>
    <t>TALONARIO DE 50 JUEGOS CADA UNO (SE ADJUNTA MUESTRA).-</t>
  </si>
  <si>
    <t>Jefatura Militar</t>
  </si>
  <si>
    <t>FRANCISCO BENEVIDES VIDAL</t>
  </si>
  <si>
    <t>Toalla Pisaroll</t>
  </si>
  <si>
    <t>005008-005.-</t>
  </si>
  <si>
    <t>Papel Higienico Pisarroll</t>
  </si>
  <si>
    <t>005008-006.-</t>
  </si>
  <si>
    <t>17 de Febrero de 2011.</t>
  </si>
  <si>
    <t>Bolsa de Basura 50x70</t>
  </si>
  <si>
    <t>PQ</t>
  </si>
  <si>
    <t>005009-002.-</t>
  </si>
  <si>
    <t>Paños Spongi</t>
  </si>
  <si>
    <t>005006-006.-</t>
  </si>
  <si>
    <t>Desodorante Glase Toque</t>
  </si>
  <si>
    <t>005012-005.-</t>
  </si>
  <si>
    <t>Paños Trapedor Doble Ojal</t>
  </si>
  <si>
    <t>005006-004.-</t>
  </si>
  <si>
    <t>Vin Liquido 1000 cc</t>
  </si>
  <si>
    <t>005002-006.-</t>
  </si>
  <si>
    <t>Clorinda Corriente 1000 ML</t>
  </si>
  <si>
    <t>005004-001.-</t>
  </si>
  <si>
    <t>Lysoform Desinfectante</t>
  </si>
  <si>
    <t>005004-005.-</t>
  </si>
  <si>
    <t>1011512.-</t>
  </si>
  <si>
    <t>Baños Damas Segundo Piso.</t>
  </si>
  <si>
    <t>TALCAHUANO, 02 DE MAYO DEL 2011.-</t>
  </si>
  <si>
    <t>0020.-</t>
  </si>
  <si>
    <t>N° 82.001 EN ADELANTE , CUADRUPLICADO, TALONARIO DE 50 JUEGOS</t>
  </si>
  <si>
    <t>0021.-</t>
  </si>
  <si>
    <t>GUIAS DE DESPACHO DEL N° 207.251 EN ADELANTE CUADRUPLICADO</t>
  </si>
  <si>
    <t>0023.-</t>
  </si>
  <si>
    <t>IMPRESORA CANON HP PHOTOSMART   C 4780.-</t>
  </si>
  <si>
    <t>0024.-</t>
  </si>
  <si>
    <t>BOLETAS DE VENTA Y SERVICIOS DEL N° 2.672.001.- EN ADELANTE,</t>
  </si>
  <si>
    <t>TALCAHUANO, 31 DE MAYO DEL 2011.-</t>
  </si>
  <si>
    <t>BOLETAS DE VENTA Y SERVICIOS DEL N° 2.707.001.- EN ADELANTE,</t>
  </si>
  <si>
    <t>TALCAHUANO, 16 DE JUNIO DEL 2011.-</t>
  </si>
  <si>
    <t>0025.-</t>
  </si>
  <si>
    <t>TALCAHUANO, 28 DE JUNIO DEL 2011.-</t>
  </si>
  <si>
    <t>0027.-</t>
  </si>
  <si>
    <t>FACTURAS AFECTAS DE IVA, CUDRUPLICADO, CALCO QUIMICO, PAPEL</t>
  </si>
  <si>
    <t>0028.-</t>
  </si>
  <si>
    <t>TALCAHUANO, 01 DE JULIO DEL 2011.-</t>
  </si>
  <si>
    <t>FACTURAS DE VENTAS Y SERVICIOS NO AFECTAS O EXENTAS DE IVA, EN</t>
  </si>
  <si>
    <t>CUADRUPLICADO, CALCO QUIMICO,PAPEL CONTINUO, DESDE EL N° 15.001</t>
  </si>
  <si>
    <t>EN ADELANTE, SE ADJUNTA MUESTRA.-</t>
  </si>
  <si>
    <t>NOTA: FECHA DE VIGENCIA EMISION HASTA 31 DICIEMBRE DEL 2012</t>
  </si>
  <si>
    <t>CONTINUO, DESDE  EL N° 46.201 EN ADELANTE (SE ADJUNTA MUESTRA).</t>
  </si>
  <si>
    <t>0030.-</t>
  </si>
  <si>
    <t>BOLETAS DE VENTA Y SERVICIOS NO AFECTOS  O EXENTOS DE I.V.A.</t>
  </si>
  <si>
    <t>TALCAHUANO, 16 DE AGOSTO DEL 2011.-</t>
  </si>
  <si>
    <t>DE 50 JUEGOS CADA UNO. (SE ADJUNTA MUESTRA)</t>
  </si>
  <si>
    <t xml:space="preserve">DEL N° 41.001.-EN ADELANTE, DUPLICADA, CALCO QUIMICO,TALONARIO </t>
  </si>
  <si>
    <t>0031.-</t>
  </si>
  <si>
    <t>BOLETAS DE VENTA Y SERVICIOS DEL N° 2.818.001.- EN ADELANTE,</t>
  </si>
  <si>
    <t>0032.-</t>
  </si>
  <si>
    <t>BOLETAS DE VENTA Y SERVICIOS DEL N° 2.893.001.- EN ADELANTE,</t>
  </si>
  <si>
    <t>TALCAHUANO, 16 DE DICIEMBRE DEL 2011.-</t>
  </si>
  <si>
    <t xml:space="preserve">Descripcion </t>
  </si>
  <si>
    <t>Valor Neto</t>
  </si>
  <si>
    <t>Total</t>
  </si>
  <si>
    <t>Neto</t>
  </si>
  <si>
    <t>19% Iva</t>
  </si>
  <si>
    <t>NOMBRE</t>
  </si>
  <si>
    <t>RUT</t>
  </si>
  <si>
    <t>TELEFONO FIJO</t>
  </si>
  <si>
    <t xml:space="preserve">TELEFONO MOVIL </t>
  </si>
  <si>
    <t xml:space="preserve">EMAIL </t>
  </si>
  <si>
    <t>Solicito a Ud., cotizar el siguiente material que se indica : PARA SER ENTREGADOS EN DEPARTAMENTO DE BIENESTAR TALCAHUANO</t>
  </si>
  <si>
    <t>PLAZO ENTREGA:</t>
  </si>
  <si>
    <t>DATOS BANCARIOS</t>
  </si>
  <si>
    <t>N° CUENTA</t>
  </si>
  <si>
    <t>BANCO</t>
  </si>
  <si>
    <t>SOLICITUD DE COTIZACION COMPRA AGIL</t>
  </si>
  <si>
    <t>LLICO</t>
  </si>
  <si>
    <t>NUMERO CONTACTO</t>
  </si>
  <si>
    <t>U/E</t>
  </si>
  <si>
    <t>:</t>
  </si>
  <si>
    <t>FIRMA REQUIRENTE</t>
  </si>
  <si>
    <t>LUGAR DE ENTREGA</t>
  </si>
  <si>
    <t>TI N°</t>
  </si>
  <si>
    <t>311027-</t>
  </si>
  <si>
    <t xml:space="preserve">NR </t>
  </si>
  <si>
    <t xml:space="preserve">MATERIALES REPARACION JUEGOS NEF </t>
  </si>
  <si>
    <t xml:space="preserve">MADERA IMPREGNADA  CEPILLADA  1 X2" X3.20 MT PINO RADIATA </t>
  </si>
  <si>
    <t xml:space="preserve">MADERA IMPREGNADA  CEPILLADA  1 X3 X3.20 MT PINO RADIATA </t>
  </si>
  <si>
    <t xml:space="preserve">MADERA IMPREGNADA CEPILLADA 2X4X3.20 MT PINO RADIATA </t>
  </si>
  <si>
    <t xml:space="preserve">MADERA IMPREGNADA CEPILLADA 2X10X3.20 MT PINO RADIATA </t>
  </si>
  <si>
    <t xml:space="preserve">IMCHALAM PUNTAS 1/2  X 1KILO </t>
  </si>
  <si>
    <t xml:space="preserve">MAMUT PERNO COCHE 5/16" X 2 1/2   100 UNIDADES </t>
  </si>
  <si>
    <t xml:space="preserve">MAMUT TUERCA HEXAGONAL 5/16  100 UNIDADES </t>
  </si>
  <si>
    <t xml:space="preserve">FIXER GOLILLA PLANA ACERO 5/16  100 UNIDADES </t>
  </si>
  <si>
    <t xml:space="preserve">MAMUT TORNILLO TIRAFONDO MADERA 3"  10 MM 144 UNIDADES </t>
  </si>
  <si>
    <t xml:space="preserve">BARNIZ MARINO BRILLANTE 1 GALON NATURAL </t>
  </si>
  <si>
    <t xml:space="preserve">BOSCH DISCO FLAP 4 1/2  GRANO N°80 </t>
  </si>
  <si>
    <t xml:space="preserve">CONDOR BROCHA BLACK 3" PROFECIONAL PARA PINTURA Y ACABADOS </t>
  </si>
  <si>
    <t xml:space="preserve">DILUYENTE DUCO SINTETICO 1 LITRO </t>
  </si>
  <si>
    <t xml:space="preserve">UBERMAN /DISCO DE CORTE INOX 4 1/2 50 UNIDADES </t>
  </si>
  <si>
    <t xml:space="preserve">WD-40 ANTICORROSIVO MULTIUSO AEROSOL 311 GR PARA PROTECCION DE METALES </t>
  </si>
  <si>
    <t xml:space="preserve">REDLINE/ PACK 10 PARES DE POLIESTER TALLA UNICA </t>
  </si>
  <si>
    <t xml:space="preserve">HELA /ESCOBILLA DE ACERO TEMPLADO </t>
  </si>
  <si>
    <t xml:space="preserve">CERECITA ESMALTE SINTETICO BRILLANTE VERDE 1 GALON </t>
  </si>
  <si>
    <t xml:space="preserve">DEWALT DISCO DE SIERRA CIRCULAR 7 1/4  DE 40 DIENTES  MODELO DWAW71440 </t>
  </si>
  <si>
    <t xml:space="preserve">DEWALT DADO PARA AUTOPERFORANTE 5 /16" CON UN ADAPTADOR CON UN POTENTE IMAN QUE SUJETA FIRMEMENTE EL TORNILLO </t>
  </si>
  <si>
    <t xml:space="preserve">BOCH SET DE BROCA  PARA METAL 8,5 MM  10 UNIDADES </t>
  </si>
  <si>
    <t>NOTA:</t>
  </si>
  <si>
    <t>SE ACEPTAN MARCAS EQUIVALENTES PERO CON IGUALDAD DE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</si>
</sst>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_-;\-&quot;$&quot;\ * #,##0_-;_-&quot;$&quot;\ * &quot;-&quot;_-;_-@_-"/>
    <numFmt numFmtId="165" formatCode="_(* #,##0_);_(* \(#,##0\);_(* &quot;-&quot;_);_(@_)"/>
    <numFmt numFmtId="166" formatCode="0_ ;[Red]\-0\ "/>
    <numFmt numFmtId="167" formatCode="_([$€]* #,##0.00_);_([$€]* \(#,##0.00\);_([$€]* &quot;-&quot;??_);_(@_)"/>
  </numFmts>
  <fonts count="3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color indexed="8"/>
      <name val="Bookman Old Style"/>
      <family val="1"/>
    </font>
    <font>
      <sz val="10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Bookman Old Style"/>
      <family val="1"/>
    </font>
    <font>
      <b/>
      <sz val="14"/>
      <color indexed="8"/>
      <name val="Bookman Old Style"/>
      <family val="1"/>
    </font>
    <font>
      <b/>
      <sz val="9"/>
      <color indexed="8"/>
      <name val="Arial"/>
      <family val="2"/>
    </font>
    <font>
      <b/>
      <sz val="12"/>
      <color indexed="8"/>
      <name val="Bookman Old Style"/>
      <family val="1"/>
    </font>
    <font>
      <b/>
      <sz val="8"/>
      <color indexed="8"/>
      <name val="Bookman Old Style"/>
      <family val="1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u/>
      <sz val="10"/>
      <color indexed="8"/>
      <name val="Arial"/>
      <family val="2"/>
    </font>
    <font>
      <b/>
      <sz val="9"/>
      <color indexed="8"/>
      <name val="Bookman Old Style"/>
      <family val="1"/>
    </font>
    <font>
      <sz val="9"/>
      <color indexed="8"/>
      <name val="Bookman Old Style"/>
      <family val="1"/>
    </font>
    <font>
      <sz val="9"/>
      <name val="Arial"/>
      <family val="2"/>
    </font>
    <font>
      <b/>
      <sz val="16"/>
      <color indexed="8"/>
      <name val="Bookman Old Style"/>
      <family val="1"/>
    </font>
    <font>
      <b/>
      <u/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77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center"/>
    </xf>
    <xf numFmtId="0" fontId="11" fillId="0" borderId="0" xfId="0" applyFont="1"/>
    <xf numFmtId="0" fontId="8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1" xfId="0" applyFont="1" applyBorder="1"/>
    <xf numFmtId="0" fontId="8" fillId="0" borderId="0" xfId="0" applyFont="1" applyAlignment="1">
      <alignment horizontal="center"/>
    </xf>
    <xf numFmtId="166" fontId="0" fillId="0" borderId="2" xfId="0" applyNumberForma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6" fontId="9" fillId="0" borderId="2" xfId="0" applyNumberFormat="1" applyFont="1" applyBorder="1"/>
    <xf numFmtId="0" fontId="8" fillId="0" borderId="4" xfId="0" applyFont="1" applyBorder="1"/>
    <xf numFmtId="0" fontId="3" fillId="0" borderId="5" xfId="0" applyFont="1" applyBorder="1"/>
    <xf numFmtId="15" fontId="4" fillId="0" borderId="0" xfId="0" applyNumberFormat="1" applyFont="1"/>
    <xf numFmtId="0" fontId="3" fillId="0" borderId="6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165" fontId="4" fillId="0" borderId="2" xfId="2" applyFont="1" applyBorder="1" applyAlignment="1">
      <alignment horizontal="center"/>
    </xf>
    <xf numFmtId="0" fontId="3" fillId="0" borderId="7" xfId="0" applyFont="1" applyBorder="1"/>
    <xf numFmtId="0" fontId="8" fillId="0" borderId="6" xfId="0" applyFont="1" applyBorder="1"/>
    <xf numFmtId="0" fontId="0" fillId="0" borderId="8" xfId="0" applyBorder="1"/>
    <xf numFmtId="0" fontId="9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9" fillId="0" borderId="9" xfId="0" quotePrefix="1" applyFont="1" applyBorder="1" applyAlignment="1">
      <alignment horizontal="right"/>
    </xf>
    <xf numFmtId="0" fontId="3" fillId="0" borderId="8" xfId="0" applyFont="1" applyBorder="1"/>
    <xf numFmtId="0" fontId="0" fillId="0" borderId="0" xfId="0" applyAlignment="1">
      <alignment horizontal="right"/>
    </xf>
    <xf numFmtId="0" fontId="12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4" fillId="0" borderId="6" xfId="0" applyFont="1" applyBorder="1"/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0" xfId="0" quotePrefix="1" applyFont="1"/>
    <xf numFmtId="0" fontId="15" fillId="0" borderId="0" xfId="0" applyFont="1"/>
    <xf numFmtId="0" fontId="12" fillId="0" borderId="6" xfId="0" applyFont="1" applyBorder="1"/>
    <xf numFmtId="15" fontId="4" fillId="0" borderId="1" xfId="0" applyNumberFormat="1" applyFont="1" applyBorder="1"/>
    <xf numFmtId="0" fontId="0" fillId="0" borderId="1" xfId="0" applyBorder="1"/>
    <xf numFmtId="0" fontId="6" fillId="0" borderId="1" xfId="0" applyFont="1" applyBorder="1" applyAlignment="1">
      <alignment horizontal="left"/>
    </xf>
    <xf numFmtId="0" fontId="11" fillId="0" borderId="10" xfId="0" applyFont="1" applyBorder="1"/>
    <xf numFmtId="0" fontId="11" fillId="0" borderId="11" xfId="0" applyFont="1" applyBorder="1"/>
    <xf numFmtId="0" fontId="16" fillId="0" borderId="0" xfId="0" applyFont="1"/>
    <xf numFmtId="0" fontId="1" fillId="0" borderId="0" xfId="0" applyFont="1"/>
    <xf numFmtId="0" fontId="12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11" fillId="0" borderId="0" xfId="0" applyFont="1" applyAlignment="1">
      <alignment horizontal="center"/>
    </xf>
    <xf numFmtId="0" fontId="17" fillId="0" borderId="13" xfId="0" applyFont="1" applyBorder="1"/>
    <xf numFmtId="0" fontId="12" fillId="0" borderId="0" xfId="0" applyFont="1" applyAlignment="1">
      <alignment horizontal="center"/>
    </xf>
    <xf numFmtId="0" fontId="18" fillId="0" borderId="0" xfId="0" applyFont="1"/>
    <xf numFmtId="0" fontId="4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0" fillId="0" borderId="2" xfId="0" applyFont="1" applyBorder="1" applyAlignment="1">
      <alignment horizontal="center"/>
    </xf>
    <xf numFmtId="0" fontId="19" fillId="0" borderId="2" xfId="0" applyFont="1" applyBorder="1"/>
    <xf numFmtId="0" fontId="22" fillId="0" borderId="0" xfId="0" applyFont="1" applyAlignment="1">
      <alignment horizontal="center"/>
    </xf>
    <xf numFmtId="0" fontId="18" fillId="0" borderId="1" xfId="0" applyFont="1" applyBorder="1"/>
    <xf numFmtId="0" fontId="23" fillId="0" borderId="0" xfId="0" applyFont="1"/>
    <xf numFmtId="0" fontId="24" fillId="0" borderId="0" xfId="0" applyFont="1"/>
    <xf numFmtId="0" fontId="19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8" fillId="0" borderId="16" xfId="0" applyFont="1" applyBorder="1"/>
    <xf numFmtId="0" fontId="9" fillId="0" borderId="9" xfId="0" quotePrefix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4" fillId="0" borderId="4" xfId="0" applyFont="1" applyBorder="1"/>
    <xf numFmtId="0" fontId="25" fillId="0" borderId="8" xfId="0" applyFont="1" applyBorder="1"/>
    <xf numFmtId="3" fontId="3" fillId="0" borderId="3" xfId="0" applyNumberFormat="1" applyFont="1" applyBorder="1" applyAlignment="1">
      <alignment horizontal="center"/>
    </xf>
    <xf numFmtId="3" fontId="9" fillId="0" borderId="9" xfId="0" quotePrefix="1" applyNumberFormat="1" applyFont="1" applyBorder="1" applyAlignment="1">
      <alignment horizontal="right"/>
    </xf>
    <xf numFmtId="0" fontId="3" fillId="0" borderId="1" xfId="0" applyFont="1" applyBorder="1"/>
    <xf numFmtId="0" fontId="26" fillId="0" borderId="8" xfId="0" applyFont="1" applyBorder="1"/>
    <xf numFmtId="0" fontId="26" fillId="0" borderId="5" xfId="0" applyFont="1" applyBorder="1"/>
    <xf numFmtId="0" fontId="27" fillId="0" borderId="6" xfId="0" applyFont="1" applyBorder="1"/>
    <xf numFmtId="3" fontId="9" fillId="0" borderId="9" xfId="0" quotePrefix="1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14" fillId="0" borderId="0" xfId="0" applyFont="1"/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9" fillId="0" borderId="0" xfId="0" applyFont="1" applyAlignment="1">
      <alignment horizontal="center"/>
    </xf>
    <xf numFmtId="0" fontId="5" fillId="0" borderId="0" xfId="0" quotePrefix="1" applyFont="1"/>
    <xf numFmtId="0" fontId="28" fillId="0" borderId="0" xfId="0" applyFont="1" applyAlignment="1">
      <alignment horizontal="center"/>
    </xf>
    <xf numFmtId="0" fontId="10" fillId="0" borderId="0" xfId="0" applyFont="1"/>
    <xf numFmtId="165" fontId="5" fillId="0" borderId="0" xfId="2" applyFont="1" applyBorder="1" applyAlignment="1">
      <alignment horizontal="center"/>
    </xf>
    <xf numFmtId="166" fontId="30" fillId="0" borderId="0" xfId="0" applyNumberFormat="1" applyFont="1"/>
    <xf numFmtId="0" fontId="30" fillId="0" borderId="0" xfId="0" applyFont="1" applyAlignment="1">
      <alignment horizontal="center"/>
    </xf>
    <xf numFmtId="17" fontId="5" fillId="0" borderId="0" xfId="0" applyNumberFormat="1" applyFont="1"/>
    <xf numFmtId="0" fontId="30" fillId="0" borderId="0" xfId="0" applyFont="1" applyAlignment="1">
      <alignment horizontal="left"/>
    </xf>
    <xf numFmtId="165" fontId="5" fillId="0" borderId="0" xfId="2" applyFont="1" applyBorder="1" applyAlignment="1"/>
    <xf numFmtId="0" fontId="30" fillId="0" borderId="0" xfId="0" quotePrefix="1" applyFont="1" applyAlignment="1">
      <alignment horizontal="center"/>
    </xf>
    <xf numFmtId="166" fontId="30" fillId="0" borderId="0" xfId="0" applyNumberFormat="1" applyFont="1" applyAlignment="1">
      <alignment horizontal="center"/>
    </xf>
    <xf numFmtId="15" fontId="5" fillId="0" borderId="0" xfId="0" applyNumberFormat="1" applyFont="1"/>
    <xf numFmtId="0" fontId="1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0" fillId="0" borderId="2" xfId="0" applyNumberFormat="1" applyBorder="1" applyAlignment="1">
      <alignment horizontal="center"/>
    </xf>
    <xf numFmtId="0" fontId="10" fillId="0" borderId="2" xfId="0" applyFont="1" applyBorder="1" applyAlignment="1">
      <alignment horizontal="center"/>
    </xf>
    <xf numFmtId="164" fontId="25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5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3" fontId="5" fillId="0" borderId="22" xfId="2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5" xfId="0" applyFont="1" applyBorder="1" applyAlignment="1">
      <alignment horizontal="center"/>
    </xf>
    <xf numFmtId="0" fontId="25" fillId="0" borderId="23" xfId="0" applyFont="1" applyBorder="1"/>
    <xf numFmtId="0" fontId="30" fillId="0" borderId="2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30" fillId="0" borderId="16" xfId="0" applyFont="1" applyBorder="1"/>
    <xf numFmtId="0" fontId="5" fillId="0" borderId="16" xfId="0" applyFont="1" applyBorder="1"/>
    <xf numFmtId="0" fontId="14" fillId="0" borderId="2" xfId="0" applyFont="1" applyBorder="1" applyAlignment="1">
      <alignment horizontal="center"/>
    </xf>
    <xf numFmtId="0" fontId="30" fillId="0" borderId="24" xfId="0" applyFont="1" applyBorder="1"/>
    <xf numFmtId="0" fontId="30" fillId="0" borderId="25" xfId="0" applyFont="1" applyBorder="1"/>
    <xf numFmtId="0" fontId="30" fillId="0" borderId="17" xfId="0" applyFont="1" applyBorder="1"/>
    <xf numFmtId="0" fontId="14" fillId="0" borderId="24" xfId="0" applyFont="1" applyBorder="1" applyAlignment="1">
      <alignment horizontal="left"/>
    </xf>
    <xf numFmtId="0" fontId="5" fillId="0" borderId="25" xfId="0" applyFont="1" applyBorder="1"/>
    <xf numFmtId="0" fontId="30" fillId="0" borderId="15" xfId="0" applyFont="1" applyBorder="1"/>
    <xf numFmtId="0" fontId="32" fillId="0" borderId="16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28" fillId="0" borderId="2" xfId="0" applyFont="1" applyBorder="1"/>
    <xf numFmtId="0" fontId="14" fillId="0" borderId="0" xfId="0" applyFont="1" applyAlignment="1">
      <alignment horizontal="right"/>
    </xf>
    <xf numFmtId="15" fontId="32" fillId="0" borderId="12" xfId="0" applyNumberFormat="1" applyFont="1" applyBorder="1" applyAlignment="1">
      <alignment horizontal="center"/>
    </xf>
    <xf numFmtId="15" fontId="32" fillId="0" borderId="13" xfId="0" applyNumberFormat="1" applyFont="1" applyBorder="1" applyAlignment="1">
      <alignment horizontal="center"/>
    </xf>
    <xf numFmtId="15" fontId="32" fillId="0" borderId="14" xfId="0" applyNumberFormat="1" applyFont="1" applyBorder="1" applyAlignment="1">
      <alignment horizontal="center"/>
    </xf>
    <xf numFmtId="3" fontId="5" fillId="0" borderId="0" xfId="2" applyNumberFormat="1" applyFont="1" applyBorder="1" applyAlignment="1">
      <alignment horizontal="center" vertical="center"/>
    </xf>
    <xf numFmtId="0" fontId="33" fillId="0" borderId="2" xfId="0" applyFont="1" applyBorder="1"/>
    <xf numFmtId="0" fontId="33" fillId="0" borderId="2" xfId="0" applyFont="1" applyBorder="1" applyAlignment="1">
      <alignment horizontal="left" wrapText="1"/>
    </xf>
    <xf numFmtId="14" fontId="5" fillId="0" borderId="0" xfId="0" applyNumberFormat="1" applyFont="1"/>
    <xf numFmtId="0" fontId="11" fillId="0" borderId="1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20" fillId="0" borderId="26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19" fillId="0" borderId="16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0" fillId="0" borderId="24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4" fillId="0" borderId="24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0" fontId="3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4" fillId="0" borderId="0" xfId="0" applyFont="1" applyAlignment="1">
      <alignment horizontal="center"/>
    </xf>
  </cellXfs>
  <cellStyles count="3">
    <cellStyle name="Euro" xfId="1" xr:uid="{00000000-0005-0000-0000-000000000000}"/>
    <cellStyle name="Millares [0]" xfId="2" builtinId="6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5"/>
  <dimension ref="A1:S51"/>
  <sheetViews>
    <sheetView workbookViewId="0">
      <selection activeCell="M16" sqref="M16"/>
    </sheetView>
  </sheetViews>
  <sheetFormatPr baseColWidth="10" defaultRowHeight="12.75" x14ac:dyDescent="0.2"/>
  <cols>
    <col min="1" max="1" width="5" customWidth="1"/>
    <col min="2" max="2" width="7.42578125" customWidth="1"/>
    <col min="3" max="3" width="6.85546875" customWidth="1"/>
    <col min="4" max="4" width="9.140625" customWidth="1"/>
    <col min="5" max="5" width="11.7109375" customWidth="1"/>
    <col min="6" max="9" width="8.28515625" customWidth="1"/>
    <col min="10" max="10" width="4.5703125" customWidth="1"/>
    <col min="11" max="11" width="8.28515625" customWidth="1"/>
    <col min="12" max="12" width="12" customWidth="1"/>
    <col min="13" max="13" width="10.85546875" customWidth="1"/>
  </cols>
  <sheetData>
    <row r="1" spans="1:13" x14ac:dyDescent="0.2">
      <c r="A1" s="155" t="s">
        <v>0</v>
      </c>
      <c r="B1" s="155"/>
      <c r="C1" s="155"/>
      <c r="D1" s="155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56" t="s">
        <v>8</v>
      </c>
      <c r="B2" s="156"/>
      <c r="C2" s="156"/>
      <c r="D2" s="156"/>
      <c r="E2" s="2"/>
      <c r="F2" s="2"/>
      <c r="G2" s="2"/>
      <c r="H2" s="2"/>
      <c r="I2" s="2"/>
      <c r="J2" s="2"/>
      <c r="K2" s="2"/>
      <c r="L2" s="21"/>
      <c r="M2" s="21"/>
    </row>
    <row r="3" spans="1:13" ht="15.75" x14ac:dyDescent="0.25">
      <c r="A3" s="156" t="s">
        <v>7</v>
      </c>
      <c r="B3" s="156"/>
      <c r="C3" s="156"/>
      <c r="D3" s="156"/>
      <c r="E3" s="2"/>
      <c r="F3" s="2"/>
      <c r="G3" s="2"/>
      <c r="H3" s="21"/>
      <c r="I3" s="21"/>
      <c r="J3" s="21"/>
      <c r="K3" s="37"/>
      <c r="L3" s="37"/>
      <c r="M3" s="21"/>
    </row>
    <row r="4" spans="1:13" ht="13.5" customHeight="1" x14ac:dyDescent="0.3">
      <c r="A4" s="155"/>
      <c r="B4" s="155"/>
      <c r="C4" s="155"/>
      <c r="D4" s="155"/>
      <c r="E4" s="2"/>
      <c r="F4" s="6"/>
      <c r="G4" s="6"/>
      <c r="H4" s="6"/>
      <c r="I4" s="6"/>
      <c r="J4" s="6"/>
      <c r="K4" s="6"/>
      <c r="L4" s="7"/>
      <c r="M4" s="7"/>
    </row>
    <row r="5" spans="1:13" ht="18" x14ac:dyDescent="0.25">
      <c r="B5" s="157" t="s">
        <v>10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34"/>
    </row>
    <row r="6" spans="1:13" ht="13.5" thickBo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B7" s="2"/>
      <c r="C7" s="2"/>
      <c r="D7" s="2"/>
      <c r="E7" s="2"/>
      <c r="F7" s="2"/>
      <c r="G7" s="2"/>
      <c r="H7" s="46" t="s">
        <v>11</v>
      </c>
      <c r="I7" s="48"/>
      <c r="J7" s="47"/>
      <c r="K7" s="53" t="s">
        <v>131</v>
      </c>
      <c r="L7" s="48"/>
      <c r="M7" s="2"/>
    </row>
    <row r="8" spans="1:13" ht="12.75" customHeight="1" thickBot="1" x14ac:dyDescent="0.25">
      <c r="B8" s="2"/>
      <c r="C8" s="2"/>
      <c r="D8" s="2"/>
      <c r="E8" s="2"/>
      <c r="F8" s="2"/>
      <c r="G8" s="2"/>
      <c r="H8" s="49"/>
      <c r="I8" s="51"/>
      <c r="J8" s="50"/>
      <c r="K8" s="50"/>
      <c r="L8" s="51"/>
      <c r="M8" s="2"/>
    </row>
    <row r="9" spans="1:13" x14ac:dyDescent="0.2">
      <c r="B9" s="5" t="s">
        <v>130</v>
      </c>
      <c r="C9" s="2"/>
      <c r="D9" s="2"/>
      <c r="E9" s="2"/>
      <c r="F9" s="2"/>
      <c r="G9" s="5"/>
      <c r="H9" s="5"/>
      <c r="I9" s="5"/>
      <c r="J9" s="5"/>
      <c r="K9" s="5"/>
      <c r="L9" s="5"/>
      <c r="M9" s="2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x14ac:dyDescent="0.3">
      <c r="B11" s="21" t="s">
        <v>18</v>
      </c>
      <c r="C11" s="6"/>
      <c r="D11" s="21"/>
      <c r="E11" s="6"/>
      <c r="F11" s="6"/>
      <c r="G11" s="21"/>
      <c r="H11" s="6"/>
      <c r="I11" s="6"/>
      <c r="J11" s="6"/>
      <c r="K11" s="6"/>
      <c r="L11" s="6"/>
      <c r="M11" s="6"/>
    </row>
    <row r="12" spans="1:13" ht="15" x14ac:dyDescent="0.3">
      <c r="B12" s="21"/>
      <c r="C12" s="6"/>
      <c r="D12" s="6"/>
      <c r="E12" s="6"/>
      <c r="F12" s="6"/>
      <c r="G12" s="21"/>
      <c r="H12" s="6"/>
      <c r="I12" s="6"/>
      <c r="J12" s="6"/>
      <c r="K12" s="6"/>
      <c r="L12" s="6"/>
      <c r="M12" s="6"/>
    </row>
    <row r="13" spans="1:13" ht="15" x14ac:dyDescent="0.3">
      <c r="B13" s="20" t="s">
        <v>9</v>
      </c>
      <c r="C13" s="21"/>
      <c r="D13" s="6" t="s">
        <v>83</v>
      </c>
      <c r="E13" s="9"/>
      <c r="F13" s="6"/>
      <c r="G13" s="6"/>
      <c r="H13" s="6"/>
      <c r="I13" s="6"/>
      <c r="J13" s="6"/>
      <c r="K13" s="6"/>
      <c r="L13" s="6"/>
      <c r="M13" s="6"/>
    </row>
    <row r="14" spans="1:13" ht="15" x14ac:dyDescent="0.3">
      <c r="B14" s="20"/>
      <c r="C14" s="6"/>
      <c r="D14" s="6"/>
      <c r="E14" s="9"/>
      <c r="F14" s="6"/>
      <c r="G14" s="6"/>
      <c r="H14" s="6"/>
      <c r="I14" s="6"/>
      <c r="J14" s="6"/>
      <c r="K14" s="6"/>
      <c r="L14" s="6"/>
      <c r="M14" s="6"/>
    </row>
    <row r="15" spans="1:13" ht="15" x14ac:dyDescent="0.3">
      <c r="B15" s="20" t="s">
        <v>33</v>
      </c>
      <c r="C15" s="6"/>
      <c r="D15" s="6" t="s">
        <v>84</v>
      </c>
      <c r="E15" s="9"/>
      <c r="F15" s="21"/>
      <c r="G15" s="21"/>
      <c r="H15" s="21"/>
      <c r="I15" s="21"/>
      <c r="J15" s="21"/>
      <c r="K15" s="21"/>
      <c r="L15" s="7"/>
      <c r="M15" s="7"/>
    </row>
    <row r="16" spans="1:13" ht="15" x14ac:dyDescent="0.3">
      <c r="B16" s="20"/>
      <c r="C16" s="6"/>
      <c r="D16" s="6"/>
      <c r="E16" s="9"/>
      <c r="F16" s="21"/>
      <c r="G16" s="21"/>
      <c r="H16" s="21"/>
      <c r="I16" s="21"/>
      <c r="J16" s="21"/>
      <c r="K16" s="21"/>
      <c r="L16" s="7"/>
      <c r="M16" s="7"/>
    </row>
    <row r="17" spans="2:19" ht="15" x14ac:dyDescent="0.3">
      <c r="B17" s="21" t="s">
        <v>12</v>
      </c>
      <c r="C17" s="6"/>
      <c r="D17" s="6"/>
      <c r="E17" s="6"/>
      <c r="F17" s="6"/>
      <c r="G17" s="6"/>
      <c r="H17" s="6"/>
      <c r="I17" s="6"/>
      <c r="J17" s="6"/>
      <c r="K17" s="10"/>
      <c r="L17" s="10"/>
      <c r="M17" s="6"/>
    </row>
    <row r="18" spans="2:19" ht="15" x14ac:dyDescent="0.3">
      <c r="B18" s="40"/>
      <c r="C18" s="10"/>
      <c r="D18" s="10"/>
      <c r="E18" s="41"/>
      <c r="F18" s="10"/>
      <c r="G18" s="10"/>
      <c r="H18" s="10"/>
      <c r="I18" s="10"/>
      <c r="J18" s="10"/>
      <c r="K18" s="10"/>
      <c r="L18" s="10"/>
      <c r="M18" s="6"/>
    </row>
    <row r="19" spans="2:19" ht="15" x14ac:dyDescent="0.3">
      <c r="B19" s="11"/>
      <c r="C19" s="11"/>
      <c r="D19" s="11"/>
      <c r="E19" s="6" t="s">
        <v>1</v>
      </c>
      <c r="F19" s="11"/>
      <c r="G19" s="11"/>
      <c r="H19" s="11"/>
      <c r="I19" s="11"/>
      <c r="J19" s="11"/>
      <c r="K19" s="11"/>
      <c r="L19" s="11" t="s">
        <v>1</v>
      </c>
      <c r="M19" s="11"/>
    </row>
    <row r="20" spans="2:19" ht="15.75" x14ac:dyDescent="0.25">
      <c r="B20" s="31" t="s">
        <v>19</v>
      </c>
      <c r="C20" s="32" t="s">
        <v>5</v>
      </c>
      <c r="D20" s="32" t="s">
        <v>20</v>
      </c>
      <c r="E20" s="149" t="s">
        <v>2</v>
      </c>
      <c r="F20" s="150"/>
      <c r="G20" s="150"/>
      <c r="H20" s="150"/>
      <c r="I20" s="150"/>
      <c r="J20" s="150"/>
      <c r="K20" s="150"/>
      <c r="L20" s="151"/>
      <c r="M20" s="35"/>
    </row>
    <row r="21" spans="2:19" ht="15" customHeight="1" x14ac:dyDescent="0.2">
      <c r="B21" s="22">
        <v>1</v>
      </c>
      <c r="C21" s="71"/>
      <c r="D21" s="75">
        <v>12000</v>
      </c>
      <c r="E21" s="33" t="s">
        <v>129</v>
      </c>
      <c r="F21" s="25"/>
      <c r="G21" s="25"/>
      <c r="H21" s="25"/>
      <c r="I21" s="25"/>
      <c r="J21" s="25"/>
      <c r="K21" s="25"/>
      <c r="L21" s="17"/>
      <c r="M21" s="3"/>
    </row>
    <row r="22" spans="2:19" ht="15" customHeight="1" x14ac:dyDescent="0.3">
      <c r="B22" s="22">
        <f>+B21+1</f>
        <v>2</v>
      </c>
      <c r="C22" s="27"/>
      <c r="D22" s="19"/>
      <c r="E22" s="24" t="s">
        <v>91</v>
      </c>
      <c r="F22" s="25"/>
      <c r="G22" s="25"/>
      <c r="H22" s="25"/>
      <c r="I22" s="25"/>
      <c r="J22" s="25"/>
      <c r="K22" s="25"/>
      <c r="L22" s="17"/>
      <c r="M22" s="3"/>
      <c r="O22" s="30"/>
      <c r="P22" s="1"/>
      <c r="Q22" s="6"/>
      <c r="S22" s="3"/>
    </row>
    <row r="23" spans="2:19" ht="15" customHeight="1" x14ac:dyDescent="0.3">
      <c r="B23" s="22">
        <f t="shared" ref="B23:B30" si="0">+B22+1</f>
        <v>3</v>
      </c>
      <c r="C23" s="27"/>
      <c r="D23" s="19"/>
      <c r="E23" s="16" t="s">
        <v>89</v>
      </c>
      <c r="F23" s="40"/>
      <c r="G23" s="40"/>
      <c r="H23" s="40"/>
      <c r="I23" s="40"/>
      <c r="J23" s="40"/>
      <c r="K23" s="40"/>
      <c r="L23" s="23"/>
      <c r="M23" s="3"/>
      <c r="O23" s="30"/>
      <c r="P23" s="1"/>
      <c r="Q23" s="6"/>
      <c r="S23" s="3"/>
    </row>
    <row r="24" spans="2:19" ht="15" customHeight="1" x14ac:dyDescent="0.3">
      <c r="B24" s="22">
        <f t="shared" si="0"/>
        <v>4</v>
      </c>
      <c r="C24" s="27"/>
      <c r="D24" s="19"/>
      <c r="E24" s="24"/>
      <c r="F24" s="25"/>
      <c r="G24" s="25"/>
      <c r="H24" s="25"/>
      <c r="I24" s="25"/>
      <c r="J24" s="25"/>
      <c r="K24" s="25"/>
      <c r="L24" s="17"/>
      <c r="M24" s="3"/>
    </row>
    <row r="25" spans="2:19" ht="15" customHeight="1" x14ac:dyDescent="0.3">
      <c r="B25" s="22">
        <f t="shared" si="0"/>
        <v>5</v>
      </c>
      <c r="C25" s="26"/>
      <c r="D25" s="19"/>
      <c r="E25" s="16"/>
      <c r="F25" s="40"/>
      <c r="G25" s="40"/>
      <c r="H25" s="40"/>
      <c r="I25" s="40"/>
      <c r="J25" s="40"/>
      <c r="K25" s="40"/>
      <c r="L25" s="23"/>
      <c r="M25" s="3"/>
    </row>
    <row r="26" spans="2:19" ht="15" customHeight="1" x14ac:dyDescent="0.2">
      <c r="B26" s="22">
        <f t="shared" si="0"/>
        <v>6</v>
      </c>
      <c r="C26" s="26"/>
      <c r="D26" s="19"/>
      <c r="E26" s="38"/>
      <c r="F26" s="29"/>
      <c r="G26" s="29"/>
      <c r="H26" s="29"/>
      <c r="I26" s="29"/>
      <c r="J26" s="29"/>
      <c r="K26" s="29"/>
      <c r="L26" s="17"/>
      <c r="M26" s="3"/>
    </row>
    <row r="27" spans="2:19" ht="15" customHeight="1" x14ac:dyDescent="0.3">
      <c r="B27" s="22">
        <f t="shared" si="0"/>
        <v>7</v>
      </c>
      <c r="C27" s="12"/>
      <c r="D27" s="13"/>
      <c r="E27" s="24"/>
      <c r="F27" s="25"/>
      <c r="G27" s="25"/>
      <c r="H27" s="25"/>
      <c r="I27" s="25"/>
      <c r="J27" s="25"/>
      <c r="K27" s="25"/>
      <c r="L27" s="17"/>
      <c r="M27" s="3"/>
    </row>
    <row r="28" spans="2:19" ht="15" customHeight="1" x14ac:dyDescent="0.3">
      <c r="B28" s="22">
        <f t="shared" si="0"/>
        <v>8</v>
      </c>
      <c r="C28" s="15"/>
      <c r="D28" s="13"/>
      <c r="E28" s="16"/>
      <c r="F28" s="40"/>
      <c r="G28" s="40"/>
      <c r="H28" s="40"/>
      <c r="I28" s="40"/>
      <c r="J28" s="40"/>
      <c r="K28" s="40"/>
      <c r="L28" s="23"/>
      <c r="M28" s="3"/>
    </row>
    <row r="29" spans="2:19" ht="15" customHeight="1" x14ac:dyDescent="0.3">
      <c r="B29" s="22">
        <f t="shared" si="0"/>
        <v>9</v>
      </c>
      <c r="C29" s="15"/>
      <c r="D29" s="13"/>
      <c r="E29" s="24"/>
      <c r="F29" s="25"/>
      <c r="G29" s="25"/>
      <c r="H29" s="25"/>
      <c r="I29" s="25"/>
      <c r="J29" s="25"/>
      <c r="K29" s="25"/>
      <c r="L29" s="17"/>
      <c r="M29" s="3"/>
    </row>
    <row r="30" spans="2:19" ht="15" customHeight="1" x14ac:dyDescent="0.3">
      <c r="B30" s="22">
        <f t="shared" si="0"/>
        <v>10</v>
      </c>
      <c r="C30" s="12"/>
      <c r="D30" s="13"/>
      <c r="E30" s="24"/>
      <c r="F30" s="25"/>
      <c r="G30" s="25"/>
      <c r="H30" s="25"/>
      <c r="I30" s="25"/>
      <c r="J30" s="25"/>
      <c r="K30" s="25"/>
      <c r="L30" s="17"/>
      <c r="M30" s="3"/>
    </row>
    <row r="31" spans="2:19" ht="15" x14ac:dyDescent="0.3">
      <c r="B31" s="2"/>
      <c r="C31" s="2"/>
      <c r="D31" s="2"/>
      <c r="E31" s="6"/>
      <c r="F31" s="3"/>
      <c r="G31" s="3"/>
      <c r="H31" s="3"/>
      <c r="I31" s="3"/>
      <c r="J31" s="3"/>
      <c r="K31" s="3"/>
      <c r="L31" s="3"/>
      <c r="M31" s="3"/>
    </row>
    <row r="32" spans="2:19" ht="15.75" thickBot="1" x14ac:dyDescent="0.35">
      <c r="B32" s="5" t="s">
        <v>13</v>
      </c>
      <c r="C32" s="2"/>
      <c r="D32" s="36"/>
      <c r="E32" s="6"/>
      <c r="F32" s="3"/>
      <c r="G32" s="3"/>
      <c r="H32" s="3"/>
      <c r="I32" s="3"/>
      <c r="J32" s="3"/>
      <c r="K32" s="3"/>
      <c r="L32" s="3"/>
      <c r="M32" s="3"/>
    </row>
    <row r="33" spans="2:13" ht="15.75" thickBot="1" x14ac:dyDescent="0.35">
      <c r="B33" s="42" t="s">
        <v>14</v>
      </c>
      <c r="C33" s="43"/>
      <c r="D33" s="152">
        <v>311401</v>
      </c>
      <c r="E33" s="153"/>
      <c r="F33" s="6"/>
      <c r="G33" s="6"/>
      <c r="H33" s="6"/>
      <c r="I33" s="10"/>
      <c r="J33" s="10"/>
      <c r="K33" s="10"/>
      <c r="L33" s="39"/>
      <c r="M33" s="18"/>
    </row>
    <row r="34" spans="2:13" ht="15" x14ac:dyDescent="0.3">
      <c r="B34" s="2"/>
      <c r="C34" s="2"/>
      <c r="D34" s="36"/>
      <c r="E34" s="2"/>
      <c r="F34" s="6"/>
      <c r="G34" s="6"/>
      <c r="H34" s="6"/>
      <c r="I34" s="154" t="s">
        <v>16</v>
      </c>
      <c r="J34" s="154"/>
      <c r="K34" s="154"/>
      <c r="L34" s="154"/>
      <c r="M34" s="2"/>
    </row>
    <row r="35" spans="2:13" ht="15" x14ac:dyDescent="0.3">
      <c r="B35" s="2"/>
      <c r="C35" s="2"/>
      <c r="D35" s="36"/>
      <c r="E35" s="2"/>
      <c r="F35" s="6"/>
      <c r="G35" s="6"/>
      <c r="H35" s="6"/>
      <c r="I35" s="54"/>
      <c r="J35" s="54"/>
      <c r="K35" s="54"/>
      <c r="L35" s="54"/>
      <c r="M35" s="2"/>
    </row>
    <row r="36" spans="2:13" ht="15" x14ac:dyDescent="0.3">
      <c r="B36" s="2"/>
      <c r="C36" s="2"/>
      <c r="D36" s="36"/>
      <c r="E36" s="2"/>
      <c r="F36" s="6"/>
      <c r="G36" s="6"/>
      <c r="H36" s="6"/>
      <c r="I36" s="54"/>
      <c r="J36" s="54"/>
      <c r="K36" s="54"/>
      <c r="L36" s="54"/>
      <c r="M36" s="2"/>
    </row>
    <row r="37" spans="2:13" x14ac:dyDescent="0.2">
      <c r="B37" s="2"/>
      <c r="C37" s="2"/>
      <c r="D37" s="36"/>
      <c r="E37" s="2"/>
      <c r="F37" s="2"/>
      <c r="G37" s="2"/>
      <c r="H37" s="2"/>
      <c r="I37" s="2"/>
      <c r="J37" s="2"/>
      <c r="K37" s="2"/>
      <c r="L37" s="4"/>
      <c r="M37" s="4"/>
    </row>
    <row r="38" spans="2:13" x14ac:dyDescent="0.2">
      <c r="B38" s="2"/>
      <c r="C38" s="2"/>
      <c r="D38" s="36"/>
      <c r="E38" s="2"/>
      <c r="F38" s="2"/>
      <c r="G38" s="7"/>
      <c r="H38" s="7"/>
      <c r="I38" s="148" t="s">
        <v>17</v>
      </c>
      <c r="J38" s="148"/>
      <c r="K38" s="148"/>
      <c r="L38" s="148"/>
      <c r="M38" s="4"/>
    </row>
    <row r="39" spans="2:13" x14ac:dyDescent="0.2">
      <c r="B39" s="2"/>
      <c r="C39" s="2"/>
      <c r="D39" s="36"/>
      <c r="E39" s="2"/>
      <c r="F39" s="2"/>
      <c r="G39" s="7"/>
      <c r="H39" s="7"/>
      <c r="I39" s="52"/>
      <c r="J39" s="52"/>
      <c r="K39" s="52"/>
      <c r="L39" s="52"/>
      <c r="M39" s="4"/>
    </row>
    <row r="40" spans="2:13" x14ac:dyDescent="0.2">
      <c r="B40" s="2"/>
      <c r="C40" s="2"/>
      <c r="D40" s="36"/>
      <c r="E40" s="2"/>
      <c r="F40" s="2"/>
      <c r="G40" s="7"/>
      <c r="H40" s="7"/>
      <c r="I40" s="52"/>
      <c r="J40" s="52"/>
      <c r="K40" s="52"/>
      <c r="L40" s="52"/>
      <c r="M40" s="4"/>
    </row>
    <row r="41" spans="2:13" x14ac:dyDescent="0.2">
      <c r="B41" s="2"/>
      <c r="C41" s="2"/>
      <c r="D41" s="2"/>
      <c r="E41" s="7"/>
      <c r="F41" s="7"/>
      <c r="G41" s="7"/>
      <c r="H41" s="7"/>
      <c r="I41" s="148"/>
      <c r="J41" s="148"/>
      <c r="K41" s="148"/>
      <c r="L41" s="148"/>
      <c r="M41" s="4"/>
    </row>
    <row r="42" spans="2:13" ht="13.5" thickBot="1" x14ac:dyDescent="0.25">
      <c r="B42" s="2"/>
      <c r="C42" s="147"/>
      <c r="D42" s="147"/>
      <c r="E42" s="147"/>
      <c r="F42" s="147"/>
      <c r="G42" s="7"/>
      <c r="H42" s="7"/>
      <c r="I42" s="56"/>
      <c r="J42" s="56"/>
      <c r="K42" s="56"/>
      <c r="L42" s="57"/>
      <c r="M42" s="4"/>
    </row>
    <row r="43" spans="2:13" x14ac:dyDescent="0.2">
      <c r="B43" s="2"/>
      <c r="C43" s="148" t="s">
        <v>85</v>
      </c>
      <c r="D43" s="148"/>
      <c r="E43" s="148"/>
      <c r="F43" s="148"/>
      <c r="G43" s="7"/>
      <c r="H43" s="7"/>
      <c r="I43" s="148" t="s">
        <v>86</v>
      </c>
      <c r="J43" s="148"/>
      <c r="K43" s="148"/>
      <c r="L43" s="148"/>
      <c r="M43" s="4"/>
    </row>
    <row r="44" spans="2:13" x14ac:dyDescent="0.2">
      <c r="B44" s="2"/>
      <c r="C44" s="148" t="s">
        <v>6</v>
      </c>
      <c r="D44" s="148"/>
      <c r="E44" s="148"/>
      <c r="F44" s="148"/>
      <c r="G44" s="2"/>
      <c r="H44" s="2"/>
      <c r="I44" s="148" t="s">
        <v>87</v>
      </c>
      <c r="J44" s="148"/>
      <c r="K44" s="148"/>
      <c r="L44" s="148"/>
      <c r="M44" s="4"/>
    </row>
    <row r="45" spans="2:13" x14ac:dyDescent="0.2">
      <c r="B45" s="2"/>
      <c r="C45" s="148" t="s">
        <v>21</v>
      </c>
      <c r="D45" s="148"/>
      <c r="E45" s="148"/>
      <c r="F45" s="148"/>
      <c r="G45" s="7"/>
      <c r="H45" s="7"/>
      <c r="I45" s="148" t="s">
        <v>15</v>
      </c>
      <c r="J45" s="148"/>
      <c r="K45" s="148"/>
      <c r="L45" s="148"/>
      <c r="M45" s="4"/>
    </row>
    <row r="46" spans="2:13" x14ac:dyDescent="0.2">
      <c r="B46" s="2"/>
      <c r="C46" s="148"/>
      <c r="D46" s="148"/>
      <c r="E46" s="148"/>
      <c r="F46" s="148"/>
      <c r="G46" s="7"/>
      <c r="H46" s="7"/>
      <c r="I46" s="148"/>
      <c r="J46" s="148"/>
      <c r="K46" s="148"/>
      <c r="L46" s="148"/>
      <c r="M46" s="4"/>
    </row>
    <row r="47" spans="2:13" x14ac:dyDescent="0.2">
      <c r="B47" s="2"/>
      <c r="C47" s="148"/>
      <c r="D47" s="148"/>
      <c r="E47" s="148"/>
      <c r="F47" s="148"/>
      <c r="G47" s="7"/>
      <c r="H47" s="7"/>
      <c r="I47" s="148"/>
      <c r="J47" s="148"/>
      <c r="K47" s="148"/>
      <c r="L47" s="148"/>
      <c r="M47" s="4"/>
    </row>
    <row r="48" spans="2:13" x14ac:dyDescent="0.2">
      <c r="B48" s="44" t="s">
        <v>3</v>
      </c>
      <c r="C48" s="45"/>
      <c r="D48" s="45"/>
      <c r="E48" s="45"/>
      <c r="F48" s="45"/>
      <c r="G48" s="45"/>
      <c r="L48" s="2"/>
      <c r="M48" s="2"/>
    </row>
    <row r="49" spans="2:13" x14ac:dyDescent="0.2">
      <c r="B49" s="44" t="s">
        <v>4</v>
      </c>
      <c r="C49" s="45"/>
      <c r="D49" s="45"/>
      <c r="E49" s="45"/>
      <c r="F49" s="45"/>
      <c r="G49" s="45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8" t="s">
        <v>1</v>
      </c>
      <c r="G51" s="8"/>
      <c r="H51" s="8"/>
      <c r="I51" s="8"/>
      <c r="J51" s="8"/>
      <c r="K51" s="8"/>
      <c r="L51" s="2"/>
      <c r="M51" s="2"/>
    </row>
  </sheetData>
  <mergeCells count="21">
    <mergeCell ref="A1:D1"/>
    <mergeCell ref="A2:D2"/>
    <mergeCell ref="A3:D3"/>
    <mergeCell ref="A4:D4"/>
    <mergeCell ref="B5:L5"/>
    <mergeCell ref="E20:L20"/>
    <mergeCell ref="D33:E33"/>
    <mergeCell ref="I34:L34"/>
    <mergeCell ref="I38:L38"/>
    <mergeCell ref="I41:L41"/>
    <mergeCell ref="C42:F42"/>
    <mergeCell ref="C43:F43"/>
    <mergeCell ref="I43:L43"/>
    <mergeCell ref="C47:F47"/>
    <mergeCell ref="I47:L47"/>
    <mergeCell ref="C44:F44"/>
    <mergeCell ref="I44:L44"/>
    <mergeCell ref="C45:F45"/>
    <mergeCell ref="I45:L45"/>
    <mergeCell ref="C46:F46"/>
    <mergeCell ref="I46:L46"/>
  </mergeCells>
  <pageMargins left="0.39370078740157483" right="0.19685039370078741" top="0.51181102362204722" bottom="0.59055118110236227" header="0" footer="0"/>
  <pageSetup scale="88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6"/>
  <dimension ref="A1:S51"/>
  <sheetViews>
    <sheetView workbookViewId="0">
      <selection activeCell="N16" sqref="N16"/>
    </sheetView>
  </sheetViews>
  <sheetFormatPr baseColWidth="10" defaultRowHeight="12.75" x14ac:dyDescent="0.2"/>
  <cols>
    <col min="1" max="1" width="5" customWidth="1"/>
    <col min="2" max="2" width="7.42578125" customWidth="1"/>
    <col min="3" max="3" width="6.85546875" customWidth="1"/>
    <col min="4" max="4" width="9.140625" customWidth="1"/>
    <col min="5" max="5" width="11.7109375" customWidth="1"/>
    <col min="6" max="9" width="8.28515625" customWidth="1"/>
    <col min="10" max="10" width="4.5703125" customWidth="1"/>
    <col min="11" max="11" width="8.28515625" customWidth="1"/>
    <col min="12" max="12" width="12" customWidth="1"/>
    <col min="13" max="13" width="10.85546875" customWidth="1"/>
  </cols>
  <sheetData>
    <row r="1" spans="1:13" x14ac:dyDescent="0.2">
      <c r="A1" s="155" t="s">
        <v>0</v>
      </c>
      <c r="B1" s="155"/>
      <c r="C1" s="155"/>
      <c r="D1" s="155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56" t="s">
        <v>8</v>
      </c>
      <c r="B2" s="156"/>
      <c r="C2" s="156"/>
      <c r="D2" s="156"/>
      <c r="E2" s="2"/>
      <c r="F2" s="2"/>
      <c r="G2" s="2"/>
      <c r="H2" s="2"/>
      <c r="I2" s="2"/>
      <c r="J2" s="2"/>
      <c r="K2" s="2"/>
      <c r="L2" s="21"/>
      <c r="M2" s="21"/>
    </row>
    <row r="3" spans="1:13" ht="15.75" x14ac:dyDescent="0.25">
      <c r="A3" s="156" t="s">
        <v>7</v>
      </c>
      <c r="B3" s="156"/>
      <c r="C3" s="156"/>
      <c r="D3" s="156"/>
      <c r="E3" s="2"/>
      <c r="F3" s="2"/>
      <c r="G3" s="2"/>
      <c r="H3" s="21"/>
      <c r="I3" s="21"/>
      <c r="J3" s="21"/>
      <c r="K3" s="37"/>
      <c r="L3" s="37"/>
      <c r="M3" s="21"/>
    </row>
    <row r="4" spans="1:13" ht="13.5" customHeight="1" x14ac:dyDescent="0.3">
      <c r="A4" s="155"/>
      <c r="B4" s="155"/>
      <c r="C4" s="155"/>
      <c r="D4" s="155"/>
      <c r="E4" s="2"/>
      <c r="F4" s="6"/>
      <c r="G4" s="6"/>
      <c r="H4" s="6"/>
      <c r="I4" s="6"/>
      <c r="J4" s="6"/>
      <c r="K4" s="6"/>
      <c r="L4" s="7"/>
      <c r="M4" s="7"/>
    </row>
    <row r="5" spans="1:13" ht="18" x14ac:dyDescent="0.25">
      <c r="B5" s="157" t="s">
        <v>10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34"/>
    </row>
    <row r="6" spans="1:13" ht="13.5" thickBo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B7" s="2"/>
      <c r="C7" s="2"/>
      <c r="D7" s="2"/>
      <c r="E7" s="2"/>
      <c r="F7" s="2"/>
      <c r="G7" s="2"/>
      <c r="H7" s="46" t="s">
        <v>11</v>
      </c>
      <c r="I7" s="48"/>
      <c r="J7" s="47"/>
      <c r="K7" s="53" t="s">
        <v>147</v>
      </c>
      <c r="L7" s="48"/>
      <c r="M7" s="2"/>
    </row>
    <row r="8" spans="1:13" ht="12.75" customHeight="1" thickBot="1" x14ac:dyDescent="0.25">
      <c r="B8" s="2"/>
      <c r="C8" s="2"/>
      <c r="D8" s="2"/>
      <c r="E8" s="2"/>
      <c r="F8" s="2"/>
      <c r="G8" s="2"/>
      <c r="H8" s="49"/>
      <c r="I8" s="51"/>
      <c r="J8" s="50"/>
      <c r="K8" s="50"/>
      <c r="L8" s="51"/>
      <c r="M8" s="2"/>
    </row>
    <row r="9" spans="1:13" x14ac:dyDescent="0.2">
      <c r="B9" s="5" t="s">
        <v>151</v>
      </c>
      <c r="C9" s="2"/>
      <c r="D9" s="2"/>
      <c r="E9" s="2"/>
      <c r="F9" s="2"/>
      <c r="G9" s="5"/>
      <c r="H9" s="5"/>
      <c r="I9" s="5"/>
      <c r="J9" s="5"/>
      <c r="K9" s="5"/>
      <c r="L9" s="5"/>
      <c r="M9" s="2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x14ac:dyDescent="0.3">
      <c r="B11" s="21" t="s">
        <v>18</v>
      </c>
      <c r="C11" s="6"/>
      <c r="D11" s="21"/>
      <c r="E11" s="6"/>
      <c r="F11" s="6"/>
      <c r="G11" s="21"/>
      <c r="H11" s="6"/>
      <c r="I11" s="6"/>
      <c r="J11" s="6"/>
      <c r="K11" s="6"/>
      <c r="L11" s="6"/>
      <c r="M11" s="6"/>
    </row>
    <row r="12" spans="1:13" ht="15" x14ac:dyDescent="0.3">
      <c r="B12" s="21"/>
      <c r="C12" s="6"/>
      <c r="D12" s="6"/>
      <c r="E12" s="6"/>
      <c r="F12" s="6"/>
      <c r="G12" s="21"/>
      <c r="H12" s="6"/>
      <c r="I12" s="6"/>
      <c r="J12" s="6"/>
      <c r="K12" s="6"/>
      <c r="L12" s="6"/>
      <c r="M12" s="6"/>
    </row>
    <row r="13" spans="1:13" ht="15" x14ac:dyDescent="0.3">
      <c r="B13" s="20" t="s">
        <v>9</v>
      </c>
      <c r="C13" s="21"/>
      <c r="D13" s="6" t="s">
        <v>83</v>
      </c>
      <c r="E13" s="9"/>
      <c r="F13" s="6"/>
      <c r="G13" s="6"/>
      <c r="H13" s="6"/>
      <c r="I13" s="6"/>
      <c r="J13" s="6"/>
      <c r="K13" s="6"/>
      <c r="L13" s="6"/>
      <c r="M13" s="6"/>
    </row>
    <row r="14" spans="1:13" ht="15" x14ac:dyDescent="0.3">
      <c r="B14" s="20"/>
      <c r="C14" s="6"/>
      <c r="D14" s="6"/>
      <c r="E14" s="9"/>
      <c r="F14" s="6"/>
      <c r="G14" s="6"/>
      <c r="H14" s="6"/>
      <c r="I14" s="6"/>
      <c r="J14" s="6"/>
      <c r="K14" s="6"/>
      <c r="L14" s="6"/>
      <c r="M14" s="6"/>
    </row>
    <row r="15" spans="1:13" ht="15" x14ac:dyDescent="0.3">
      <c r="B15" s="20" t="s">
        <v>33</v>
      </c>
      <c r="C15" s="6"/>
      <c r="D15" s="6" t="s">
        <v>84</v>
      </c>
      <c r="E15" s="9"/>
      <c r="F15" s="21"/>
      <c r="G15" s="21"/>
      <c r="H15" s="21"/>
      <c r="I15" s="21"/>
      <c r="J15" s="21"/>
      <c r="K15" s="21"/>
      <c r="L15" s="7"/>
      <c r="M15" s="7"/>
    </row>
    <row r="16" spans="1:13" ht="15" x14ac:dyDescent="0.3">
      <c r="B16" s="20"/>
      <c r="C16" s="6"/>
      <c r="D16" s="6"/>
      <c r="E16" s="9"/>
      <c r="F16" s="21"/>
      <c r="G16" s="21"/>
      <c r="H16" s="21"/>
      <c r="I16" s="21"/>
      <c r="J16" s="21"/>
      <c r="K16" s="21"/>
      <c r="L16" s="7"/>
      <c r="M16" s="7"/>
    </row>
    <row r="17" spans="2:19" ht="15" x14ac:dyDescent="0.3">
      <c r="B17" s="21" t="s">
        <v>12</v>
      </c>
      <c r="C17" s="6"/>
      <c r="D17" s="6"/>
      <c r="E17" s="6"/>
      <c r="F17" s="6"/>
      <c r="G17" s="6"/>
      <c r="H17" s="6"/>
      <c r="I17" s="6"/>
      <c r="J17" s="6"/>
      <c r="K17" s="10"/>
      <c r="L17" s="10"/>
      <c r="M17" s="6"/>
    </row>
    <row r="18" spans="2:19" ht="15" x14ac:dyDescent="0.3">
      <c r="B18" s="40"/>
      <c r="C18" s="10"/>
      <c r="D18" s="10"/>
      <c r="E18" s="41"/>
      <c r="F18" s="10"/>
      <c r="G18" s="10"/>
      <c r="H18" s="10"/>
      <c r="I18" s="10"/>
      <c r="J18" s="10"/>
      <c r="K18" s="10"/>
      <c r="L18" s="10"/>
      <c r="M18" s="6"/>
    </row>
    <row r="19" spans="2:19" ht="15" x14ac:dyDescent="0.3">
      <c r="B19" s="11"/>
      <c r="C19" s="11"/>
      <c r="D19" s="11"/>
      <c r="E19" s="6" t="s">
        <v>1</v>
      </c>
      <c r="F19" s="11"/>
      <c r="G19" s="11"/>
      <c r="H19" s="11"/>
      <c r="I19" s="11"/>
      <c r="J19" s="11"/>
      <c r="K19" s="11"/>
      <c r="L19" s="11" t="s">
        <v>1</v>
      </c>
      <c r="M19" s="11"/>
    </row>
    <row r="20" spans="2:19" ht="15.75" x14ac:dyDescent="0.25">
      <c r="B20" s="31" t="s">
        <v>19</v>
      </c>
      <c r="C20" s="32" t="s">
        <v>5</v>
      </c>
      <c r="D20" s="32" t="s">
        <v>20</v>
      </c>
      <c r="E20" s="149" t="s">
        <v>2</v>
      </c>
      <c r="F20" s="150"/>
      <c r="G20" s="150"/>
      <c r="H20" s="150"/>
      <c r="I20" s="150"/>
      <c r="J20" s="150"/>
      <c r="K20" s="150"/>
      <c r="L20" s="151"/>
      <c r="M20" s="35"/>
    </row>
    <row r="21" spans="2:19" ht="15" customHeight="1" x14ac:dyDescent="0.2">
      <c r="B21" s="22">
        <v>1</v>
      </c>
      <c r="C21" s="28">
        <v>300</v>
      </c>
      <c r="D21" s="14" t="s">
        <v>54</v>
      </c>
      <c r="E21" s="33" t="s">
        <v>148</v>
      </c>
      <c r="F21" s="25"/>
      <c r="G21" s="25"/>
      <c r="H21" s="25"/>
      <c r="I21" s="25"/>
      <c r="J21" s="25"/>
      <c r="K21" s="25"/>
      <c r="L21" s="17"/>
      <c r="M21" s="3"/>
    </row>
    <row r="22" spans="2:19" ht="15" customHeight="1" x14ac:dyDescent="0.3">
      <c r="B22" s="22">
        <f>+B21+1</f>
        <v>2</v>
      </c>
      <c r="C22" s="27"/>
      <c r="D22" s="19"/>
      <c r="E22" s="24" t="s">
        <v>88</v>
      </c>
      <c r="F22" s="25"/>
      <c r="G22" s="25"/>
      <c r="H22" s="25"/>
      <c r="I22" s="25"/>
      <c r="J22" s="25"/>
      <c r="K22" s="25"/>
      <c r="L22" s="17"/>
      <c r="M22" s="3"/>
      <c r="O22" s="30"/>
      <c r="P22" s="1"/>
      <c r="Q22" s="6"/>
      <c r="S22" s="3"/>
    </row>
    <row r="23" spans="2:19" ht="15" customHeight="1" x14ac:dyDescent="0.3">
      <c r="B23" s="22">
        <f t="shared" ref="B23:B30" si="0">+B22+1</f>
        <v>3</v>
      </c>
      <c r="C23" s="27"/>
      <c r="D23" s="19"/>
      <c r="E23" s="16" t="s">
        <v>89</v>
      </c>
      <c r="F23" s="40"/>
      <c r="G23" s="40"/>
      <c r="H23" s="40"/>
      <c r="I23" s="40"/>
      <c r="J23" s="40"/>
      <c r="K23" s="40"/>
      <c r="L23" s="23"/>
      <c r="M23" s="3"/>
      <c r="O23" s="30"/>
      <c r="P23" s="1"/>
      <c r="Q23" s="6"/>
      <c r="S23" s="3"/>
    </row>
    <row r="24" spans="2:19" ht="15" customHeight="1" x14ac:dyDescent="0.3">
      <c r="B24" s="22">
        <f t="shared" si="0"/>
        <v>4</v>
      </c>
      <c r="C24" s="27"/>
      <c r="D24" s="19"/>
      <c r="E24" s="24"/>
      <c r="F24" s="25"/>
      <c r="G24" s="25"/>
      <c r="H24" s="25"/>
      <c r="I24" s="25"/>
      <c r="J24" s="25"/>
      <c r="K24" s="25"/>
      <c r="L24" s="17"/>
      <c r="M24" s="3"/>
    </row>
    <row r="25" spans="2:19" ht="15" customHeight="1" x14ac:dyDescent="0.3">
      <c r="B25" s="22">
        <f t="shared" si="0"/>
        <v>5</v>
      </c>
      <c r="C25" s="26"/>
      <c r="D25" s="19"/>
      <c r="E25" s="16"/>
      <c r="F25" s="40"/>
      <c r="G25" s="40"/>
      <c r="H25" s="40"/>
      <c r="I25" s="40"/>
      <c r="J25" s="40"/>
      <c r="K25" s="40"/>
      <c r="L25" s="23"/>
      <c r="M25" s="3"/>
    </row>
    <row r="26" spans="2:19" ht="15" customHeight="1" x14ac:dyDescent="0.2">
      <c r="B26" s="22">
        <f t="shared" si="0"/>
        <v>6</v>
      </c>
      <c r="C26" s="26"/>
      <c r="D26" s="19"/>
      <c r="E26" s="38"/>
      <c r="F26" s="29"/>
      <c r="G26" s="29"/>
      <c r="H26" s="29"/>
      <c r="I26" s="29"/>
      <c r="J26" s="29"/>
      <c r="K26" s="29"/>
      <c r="L26" s="17"/>
      <c r="M26" s="3"/>
    </row>
    <row r="27" spans="2:19" ht="15" customHeight="1" x14ac:dyDescent="0.3">
      <c r="B27" s="22">
        <f t="shared" si="0"/>
        <v>7</v>
      </c>
      <c r="C27" s="12"/>
      <c r="D27" s="13"/>
      <c r="E27" s="24"/>
      <c r="F27" s="25"/>
      <c r="G27" s="25"/>
      <c r="H27" s="25"/>
      <c r="I27" s="25"/>
      <c r="J27" s="25"/>
      <c r="K27" s="25"/>
      <c r="L27" s="17"/>
      <c r="M27" s="3"/>
    </row>
    <row r="28" spans="2:19" ht="15" customHeight="1" x14ac:dyDescent="0.3">
      <c r="B28" s="22">
        <f t="shared" si="0"/>
        <v>8</v>
      </c>
      <c r="C28" s="15"/>
      <c r="D28" s="13"/>
      <c r="E28" s="16"/>
      <c r="F28" s="40"/>
      <c r="G28" s="40"/>
      <c r="H28" s="40"/>
      <c r="I28" s="40"/>
      <c r="J28" s="40"/>
      <c r="K28" s="40"/>
      <c r="L28" s="23"/>
      <c r="M28" s="3"/>
    </row>
    <row r="29" spans="2:19" ht="15" customHeight="1" x14ac:dyDescent="0.3">
      <c r="B29" s="22">
        <f t="shared" si="0"/>
        <v>9</v>
      </c>
      <c r="C29" s="15"/>
      <c r="D29" s="13"/>
      <c r="E29" s="24"/>
      <c r="F29" s="25"/>
      <c r="G29" s="25"/>
      <c r="H29" s="25"/>
      <c r="I29" s="25"/>
      <c r="J29" s="25"/>
      <c r="K29" s="25"/>
      <c r="L29" s="17"/>
      <c r="M29" s="3"/>
    </row>
    <row r="30" spans="2:19" ht="15" customHeight="1" x14ac:dyDescent="0.3">
      <c r="B30" s="22">
        <f t="shared" si="0"/>
        <v>10</v>
      </c>
      <c r="C30" s="12"/>
      <c r="D30" s="13"/>
      <c r="E30" s="24"/>
      <c r="F30" s="25"/>
      <c r="G30" s="25"/>
      <c r="H30" s="25"/>
      <c r="I30" s="25"/>
      <c r="J30" s="25"/>
      <c r="K30" s="25"/>
      <c r="L30" s="17"/>
      <c r="M30" s="3"/>
    </row>
    <row r="31" spans="2:19" ht="15" x14ac:dyDescent="0.3">
      <c r="B31" s="2"/>
      <c r="C31" s="2"/>
      <c r="D31" s="2"/>
      <c r="E31" s="6"/>
      <c r="F31" s="3"/>
      <c r="G31" s="3"/>
      <c r="H31" s="3"/>
      <c r="I31" s="3"/>
      <c r="J31" s="3"/>
      <c r="K31" s="3"/>
      <c r="L31" s="3"/>
      <c r="M31" s="3"/>
    </row>
    <row r="32" spans="2:19" ht="15.75" thickBot="1" x14ac:dyDescent="0.35">
      <c r="B32" s="5" t="s">
        <v>13</v>
      </c>
      <c r="C32" s="2"/>
      <c r="D32" s="36"/>
      <c r="E32" s="6"/>
      <c r="F32" s="3"/>
      <c r="G32" s="3"/>
      <c r="H32" s="3"/>
      <c r="I32" s="3"/>
      <c r="J32" s="3"/>
      <c r="K32" s="3"/>
      <c r="L32" s="3"/>
      <c r="M32" s="3"/>
    </row>
    <row r="33" spans="2:13" ht="15.75" thickBot="1" x14ac:dyDescent="0.35">
      <c r="B33" s="42" t="s">
        <v>14</v>
      </c>
      <c r="C33" s="43"/>
      <c r="D33" s="152">
        <v>311401</v>
      </c>
      <c r="E33" s="153"/>
      <c r="F33" s="6"/>
      <c r="G33" s="6"/>
      <c r="H33" s="6"/>
      <c r="I33" s="10"/>
      <c r="J33" s="10"/>
      <c r="K33" s="10"/>
      <c r="L33" s="39"/>
      <c r="M33" s="18"/>
    </row>
    <row r="34" spans="2:13" ht="15" x14ac:dyDescent="0.3">
      <c r="B34" s="2"/>
      <c r="C34" s="2"/>
      <c r="D34" s="36"/>
      <c r="E34" s="2"/>
      <c r="F34" s="6"/>
      <c r="G34" s="6"/>
      <c r="H34" s="6"/>
      <c r="I34" s="154" t="s">
        <v>16</v>
      </c>
      <c r="J34" s="154"/>
      <c r="K34" s="154"/>
      <c r="L34" s="154"/>
      <c r="M34" s="2"/>
    </row>
    <row r="35" spans="2:13" ht="15" x14ac:dyDescent="0.3">
      <c r="B35" s="2"/>
      <c r="C35" s="2"/>
      <c r="D35" s="36"/>
      <c r="E35" s="2"/>
      <c r="F35" s="6"/>
      <c r="G35" s="6"/>
      <c r="H35" s="6"/>
      <c r="I35" s="54"/>
      <c r="J35" s="54"/>
      <c r="K35" s="54"/>
      <c r="L35" s="54"/>
      <c r="M35" s="2"/>
    </row>
    <row r="36" spans="2:13" ht="15" x14ac:dyDescent="0.3">
      <c r="B36" s="2"/>
      <c r="C36" s="2"/>
      <c r="D36" s="36"/>
      <c r="E36" s="2"/>
      <c r="F36" s="6"/>
      <c r="G36" s="6"/>
      <c r="H36" s="6"/>
      <c r="I36" s="54"/>
      <c r="J36" s="54"/>
      <c r="K36" s="54"/>
      <c r="L36" s="54"/>
      <c r="M36" s="2"/>
    </row>
    <row r="37" spans="2:13" x14ac:dyDescent="0.2">
      <c r="B37" s="2"/>
      <c r="C37" s="2"/>
      <c r="D37" s="36"/>
      <c r="E37" s="2"/>
      <c r="F37" s="2"/>
      <c r="G37" s="2"/>
      <c r="H37" s="2"/>
      <c r="I37" s="2"/>
      <c r="J37" s="2"/>
      <c r="K37" s="2"/>
      <c r="L37" s="4"/>
      <c r="M37" s="4"/>
    </row>
    <row r="38" spans="2:13" x14ac:dyDescent="0.2">
      <c r="B38" s="2"/>
      <c r="C38" s="2"/>
      <c r="D38" s="36"/>
      <c r="E38" s="2"/>
      <c r="F38" s="2"/>
      <c r="G38" s="7"/>
      <c r="H38" s="7"/>
      <c r="I38" s="148" t="s">
        <v>17</v>
      </c>
      <c r="J38" s="148"/>
      <c r="K38" s="148"/>
      <c r="L38" s="148"/>
      <c r="M38" s="4"/>
    </row>
    <row r="39" spans="2:13" x14ac:dyDescent="0.2">
      <c r="B39" s="2"/>
      <c r="C39" s="2"/>
      <c r="D39" s="36"/>
      <c r="E39" s="2"/>
      <c r="F39" s="2"/>
      <c r="G39" s="7"/>
      <c r="H39" s="7"/>
      <c r="I39" s="52"/>
      <c r="J39" s="52"/>
      <c r="K39" s="52"/>
      <c r="L39" s="52"/>
      <c r="M39" s="4"/>
    </row>
    <row r="40" spans="2:13" x14ac:dyDescent="0.2">
      <c r="B40" s="2"/>
      <c r="C40" s="2"/>
      <c r="D40" s="36"/>
      <c r="E40" s="2"/>
      <c r="F40" s="2"/>
      <c r="G40" s="7"/>
      <c r="H40" s="7"/>
      <c r="I40" s="52"/>
      <c r="J40" s="52"/>
      <c r="K40" s="52"/>
      <c r="L40" s="52"/>
      <c r="M40" s="4"/>
    </row>
    <row r="41" spans="2:13" x14ac:dyDescent="0.2">
      <c r="B41" s="2"/>
      <c r="C41" s="2"/>
      <c r="D41" s="2"/>
      <c r="E41" s="7"/>
      <c r="F41" s="7"/>
      <c r="G41" s="7"/>
      <c r="H41" s="7"/>
      <c r="I41" s="148"/>
      <c r="J41" s="148"/>
      <c r="K41" s="148"/>
      <c r="L41" s="148"/>
      <c r="M41" s="4"/>
    </row>
    <row r="42" spans="2:13" ht="13.5" thickBot="1" x14ac:dyDescent="0.25">
      <c r="B42" s="2"/>
      <c r="C42" s="147"/>
      <c r="D42" s="147"/>
      <c r="E42" s="147"/>
      <c r="F42" s="147"/>
      <c r="G42" s="7"/>
      <c r="H42" s="7"/>
      <c r="I42" s="56"/>
      <c r="J42" s="56"/>
      <c r="K42" s="56"/>
      <c r="L42" s="57"/>
      <c r="M42" s="4"/>
    </row>
    <row r="43" spans="2:13" x14ac:dyDescent="0.2">
      <c r="B43" s="2"/>
      <c r="C43" s="148" t="s">
        <v>85</v>
      </c>
      <c r="D43" s="148"/>
      <c r="E43" s="148"/>
      <c r="F43" s="148"/>
      <c r="G43" s="7"/>
      <c r="H43" s="7"/>
      <c r="I43" s="148" t="s">
        <v>86</v>
      </c>
      <c r="J43" s="148"/>
      <c r="K43" s="148"/>
      <c r="L43" s="148"/>
      <c r="M43" s="4"/>
    </row>
    <row r="44" spans="2:13" x14ac:dyDescent="0.2">
      <c r="B44" s="2"/>
      <c r="C44" s="148" t="s">
        <v>6</v>
      </c>
      <c r="D44" s="148"/>
      <c r="E44" s="148"/>
      <c r="F44" s="148"/>
      <c r="G44" s="2"/>
      <c r="H44" s="2"/>
      <c r="I44" s="148" t="s">
        <v>87</v>
      </c>
      <c r="J44" s="148"/>
      <c r="K44" s="148"/>
      <c r="L44" s="148"/>
      <c r="M44" s="4"/>
    </row>
    <row r="45" spans="2:13" x14ac:dyDescent="0.2">
      <c r="B45" s="2"/>
      <c r="C45" s="148" t="s">
        <v>21</v>
      </c>
      <c r="D45" s="148"/>
      <c r="E45" s="148"/>
      <c r="F45" s="148"/>
      <c r="G45" s="7"/>
      <c r="H45" s="7"/>
      <c r="I45" s="148" t="s">
        <v>15</v>
      </c>
      <c r="J45" s="148"/>
      <c r="K45" s="148"/>
      <c r="L45" s="148"/>
      <c r="M45" s="4"/>
    </row>
    <row r="46" spans="2:13" x14ac:dyDescent="0.2">
      <c r="B46" s="2"/>
      <c r="C46" s="148"/>
      <c r="D46" s="148"/>
      <c r="E46" s="148"/>
      <c r="F46" s="148"/>
      <c r="G46" s="7"/>
      <c r="H46" s="7"/>
      <c r="I46" s="148"/>
      <c r="J46" s="148"/>
      <c r="K46" s="148"/>
      <c r="L46" s="148"/>
      <c r="M46" s="4"/>
    </row>
    <row r="47" spans="2:13" x14ac:dyDescent="0.2">
      <c r="B47" s="2"/>
      <c r="C47" s="148"/>
      <c r="D47" s="148"/>
      <c r="E47" s="148"/>
      <c r="F47" s="148"/>
      <c r="G47" s="7"/>
      <c r="H47" s="7"/>
      <c r="I47" s="148"/>
      <c r="J47" s="148"/>
      <c r="K47" s="148"/>
      <c r="L47" s="148"/>
      <c r="M47" s="4"/>
    </row>
    <row r="48" spans="2:13" x14ac:dyDescent="0.2">
      <c r="B48" s="44" t="s">
        <v>3</v>
      </c>
      <c r="C48" s="45"/>
      <c r="D48" s="45"/>
      <c r="E48" s="45"/>
      <c r="F48" s="45"/>
      <c r="G48" s="45"/>
      <c r="L48" s="2"/>
      <c r="M48" s="2"/>
    </row>
    <row r="49" spans="2:13" x14ac:dyDescent="0.2">
      <c r="B49" s="44" t="s">
        <v>4</v>
      </c>
      <c r="C49" s="45"/>
      <c r="D49" s="45"/>
      <c r="E49" s="45"/>
      <c r="F49" s="45"/>
      <c r="G49" s="45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8" t="s">
        <v>1</v>
      </c>
      <c r="G51" s="8"/>
      <c r="H51" s="8"/>
      <c r="I51" s="8"/>
      <c r="J51" s="8"/>
      <c r="K51" s="8"/>
      <c r="L51" s="2"/>
      <c r="M51" s="2"/>
    </row>
  </sheetData>
  <mergeCells count="21">
    <mergeCell ref="A1:D1"/>
    <mergeCell ref="A2:D2"/>
    <mergeCell ref="A3:D3"/>
    <mergeCell ref="A4:D4"/>
    <mergeCell ref="B5:L5"/>
    <mergeCell ref="E20:L20"/>
    <mergeCell ref="D33:E33"/>
    <mergeCell ref="I34:L34"/>
    <mergeCell ref="I38:L38"/>
    <mergeCell ref="I41:L41"/>
    <mergeCell ref="C42:F42"/>
    <mergeCell ref="C43:F43"/>
    <mergeCell ref="I43:L43"/>
    <mergeCell ref="C47:F47"/>
    <mergeCell ref="I47:L47"/>
    <mergeCell ref="C44:F44"/>
    <mergeCell ref="I44:L44"/>
    <mergeCell ref="C45:F45"/>
    <mergeCell ref="I45:L45"/>
    <mergeCell ref="C46:F46"/>
    <mergeCell ref="I46:L46"/>
  </mergeCells>
  <pageMargins left="0.39370078740157483" right="0.19685039370078741" top="0.51181102362204722" bottom="0.59055118110236227" header="0" footer="0"/>
  <pageSetup scale="88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7"/>
  <dimension ref="A1:S51"/>
  <sheetViews>
    <sheetView workbookViewId="0">
      <selection activeCell="I24" sqref="I24"/>
    </sheetView>
  </sheetViews>
  <sheetFormatPr baseColWidth="10" defaultRowHeight="12.75" x14ac:dyDescent="0.2"/>
  <cols>
    <col min="1" max="1" width="5" customWidth="1"/>
    <col min="2" max="2" width="7.42578125" customWidth="1"/>
    <col min="3" max="3" width="6.85546875" customWidth="1"/>
    <col min="4" max="4" width="9.140625" customWidth="1"/>
    <col min="5" max="5" width="11.7109375" customWidth="1"/>
    <col min="6" max="9" width="8.28515625" customWidth="1"/>
    <col min="10" max="10" width="4.5703125" customWidth="1"/>
    <col min="11" max="11" width="8.28515625" customWidth="1"/>
    <col min="12" max="12" width="12" customWidth="1"/>
    <col min="13" max="13" width="10.85546875" customWidth="1"/>
  </cols>
  <sheetData>
    <row r="1" spans="1:13" x14ac:dyDescent="0.2">
      <c r="A1" s="155" t="s">
        <v>0</v>
      </c>
      <c r="B1" s="155"/>
      <c r="C1" s="155"/>
      <c r="D1" s="155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56" t="s">
        <v>8</v>
      </c>
      <c r="B2" s="156"/>
      <c r="C2" s="156"/>
      <c r="D2" s="156"/>
      <c r="E2" s="2"/>
      <c r="F2" s="2"/>
      <c r="G2" s="2"/>
      <c r="H2" s="2"/>
      <c r="I2" s="2"/>
      <c r="J2" s="2"/>
      <c r="K2" s="2"/>
      <c r="L2" s="21"/>
      <c r="M2" s="21"/>
    </row>
    <row r="3" spans="1:13" ht="15.75" x14ac:dyDescent="0.25">
      <c r="A3" s="156" t="s">
        <v>7</v>
      </c>
      <c r="B3" s="156"/>
      <c r="C3" s="156"/>
      <c r="D3" s="156"/>
      <c r="E3" s="2"/>
      <c r="F3" s="2"/>
      <c r="G3" s="2"/>
      <c r="H3" s="21"/>
      <c r="I3" s="21"/>
      <c r="J3" s="21"/>
      <c r="K3" s="37"/>
      <c r="L3" s="37"/>
      <c r="M3" s="21"/>
    </row>
    <row r="4" spans="1:13" ht="13.5" customHeight="1" x14ac:dyDescent="0.3">
      <c r="A4" s="155"/>
      <c r="B4" s="155"/>
      <c r="C4" s="155"/>
      <c r="D4" s="155"/>
      <c r="E4" s="2"/>
      <c r="F4" s="6"/>
      <c r="G4" s="6"/>
      <c r="H4" s="6"/>
      <c r="I4" s="6"/>
      <c r="J4" s="6"/>
      <c r="K4" s="6"/>
      <c r="L4" s="7"/>
      <c r="M4" s="7"/>
    </row>
    <row r="5" spans="1:13" ht="18" x14ac:dyDescent="0.25">
      <c r="B5" s="157" t="s">
        <v>10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34"/>
    </row>
    <row r="6" spans="1:13" ht="13.5" thickBo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B7" s="2"/>
      <c r="C7" s="2"/>
      <c r="D7" s="2"/>
      <c r="E7" s="2"/>
      <c r="F7" s="2"/>
      <c r="G7" s="2"/>
      <c r="H7" s="46" t="s">
        <v>11</v>
      </c>
      <c r="I7" s="48"/>
      <c r="J7" s="47"/>
      <c r="K7" s="53" t="s">
        <v>133</v>
      </c>
      <c r="L7" s="48"/>
      <c r="M7" s="2"/>
    </row>
    <row r="8" spans="1:13" ht="12.75" customHeight="1" thickBot="1" x14ac:dyDescent="0.25">
      <c r="B8" s="2"/>
      <c r="C8" s="2"/>
      <c r="D8" s="2"/>
      <c r="E8" s="2"/>
      <c r="F8" s="2"/>
      <c r="G8" s="2"/>
      <c r="H8" s="49"/>
      <c r="I8" s="51"/>
      <c r="J8" s="50"/>
      <c r="K8" s="50"/>
      <c r="L8" s="51"/>
      <c r="M8" s="2"/>
    </row>
    <row r="9" spans="1:13" x14ac:dyDescent="0.2">
      <c r="B9" s="5" t="s">
        <v>136</v>
      </c>
      <c r="C9" s="2"/>
      <c r="D9" s="2"/>
      <c r="E9" s="2"/>
      <c r="F9" s="2"/>
      <c r="G9" s="5"/>
      <c r="H9" s="5"/>
      <c r="I9" s="5"/>
      <c r="J9" s="5"/>
      <c r="K9" s="5"/>
      <c r="L9" s="5"/>
      <c r="M9" s="2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x14ac:dyDescent="0.3">
      <c r="B11" s="21" t="s">
        <v>18</v>
      </c>
      <c r="C11" s="6"/>
      <c r="D11" s="21"/>
      <c r="E11" s="6"/>
      <c r="F11" s="6"/>
      <c r="G11" s="21"/>
      <c r="H11" s="6"/>
      <c r="I11" s="6"/>
      <c r="J11" s="6"/>
      <c r="K11" s="6"/>
      <c r="L11" s="6"/>
      <c r="M11" s="6"/>
    </row>
    <row r="12" spans="1:13" ht="15" x14ac:dyDescent="0.3">
      <c r="B12" s="21"/>
      <c r="C12" s="6"/>
      <c r="D12" s="6"/>
      <c r="E12" s="6"/>
      <c r="F12" s="6"/>
      <c r="G12" s="21"/>
      <c r="H12" s="6"/>
      <c r="I12" s="6"/>
      <c r="J12" s="6"/>
      <c r="K12" s="6"/>
      <c r="L12" s="6"/>
      <c r="M12" s="6"/>
    </row>
    <row r="13" spans="1:13" ht="15" x14ac:dyDescent="0.3">
      <c r="B13" s="20" t="s">
        <v>9</v>
      </c>
      <c r="C13" s="21"/>
      <c r="D13" s="6" t="s">
        <v>83</v>
      </c>
      <c r="E13" s="9"/>
      <c r="F13" s="6"/>
      <c r="G13" s="6"/>
      <c r="H13" s="6"/>
      <c r="I13" s="6"/>
      <c r="J13" s="6"/>
      <c r="K13" s="6"/>
      <c r="L13" s="6"/>
      <c r="M13" s="6"/>
    </row>
    <row r="14" spans="1:13" ht="15" x14ac:dyDescent="0.3">
      <c r="B14" s="20"/>
      <c r="C14" s="6"/>
      <c r="D14" s="6"/>
      <c r="E14" s="9"/>
      <c r="F14" s="6"/>
      <c r="G14" s="6"/>
      <c r="H14" s="6"/>
      <c r="I14" s="6"/>
      <c r="J14" s="6"/>
      <c r="K14" s="6"/>
      <c r="L14" s="6"/>
      <c r="M14" s="6"/>
    </row>
    <row r="15" spans="1:13" ht="15" x14ac:dyDescent="0.3">
      <c r="B15" s="20" t="s">
        <v>33</v>
      </c>
      <c r="C15" s="6"/>
      <c r="D15" s="6" t="s">
        <v>84</v>
      </c>
      <c r="E15" s="9"/>
      <c r="F15" s="21"/>
      <c r="G15" s="21"/>
      <c r="H15" s="21"/>
      <c r="I15" s="21"/>
      <c r="J15" s="21"/>
      <c r="K15" s="21"/>
      <c r="L15" s="7"/>
      <c r="M15" s="7"/>
    </row>
    <row r="16" spans="1:13" ht="15" x14ac:dyDescent="0.3">
      <c r="B16" s="20"/>
      <c r="C16" s="6"/>
      <c r="D16" s="6"/>
      <c r="E16" s="9"/>
      <c r="F16" s="21"/>
      <c r="G16" s="21"/>
      <c r="H16" s="21"/>
      <c r="I16" s="21"/>
      <c r="J16" s="21"/>
      <c r="K16" s="21"/>
      <c r="L16" s="7"/>
      <c r="M16" s="7"/>
    </row>
    <row r="17" spans="2:19" ht="15" x14ac:dyDescent="0.3">
      <c r="B17" s="21" t="s">
        <v>12</v>
      </c>
      <c r="C17" s="6"/>
      <c r="D17" s="6"/>
      <c r="E17" s="6"/>
      <c r="F17" s="6"/>
      <c r="G17" s="6"/>
      <c r="H17" s="6"/>
      <c r="I17" s="6"/>
      <c r="J17" s="6"/>
      <c r="K17" s="10"/>
      <c r="L17" s="10"/>
      <c r="M17" s="6"/>
    </row>
    <row r="18" spans="2:19" ht="15" x14ac:dyDescent="0.3">
      <c r="B18" s="40"/>
      <c r="C18" s="10"/>
      <c r="D18" s="10"/>
      <c r="E18" s="41"/>
      <c r="F18" s="10"/>
      <c r="G18" s="10"/>
      <c r="H18" s="10"/>
      <c r="I18" s="10"/>
      <c r="J18" s="10"/>
      <c r="K18" s="10"/>
      <c r="L18" s="10"/>
      <c r="M18" s="6"/>
    </row>
    <row r="19" spans="2:19" ht="15" x14ac:dyDescent="0.3">
      <c r="B19" s="11"/>
      <c r="C19" s="11"/>
      <c r="D19" s="11"/>
      <c r="E19" s="6" t="s">
        <v>1</v>
      </c>
      <c r="F19" s="11"/>
      <c r="G19" s="11"/>
      <c r="H19" s="11"/>
      <c r="I19" s="11"/>
      <c r="J19" s="11"/>
      <c r="K19" s="11"/>
      <c r="L19" s="11" t="s">
        <v>1</v>
      </c>
      <c r="M19" s="11"/>
    </row>
    <row r="20" spans="2:19" ht="15.75" x14ac:dyDescent="0.25">
      <c r="B20" s="31" t="s">
        <v>19</v>
      </c>
      <c r="C20" s="32" t="s">
        <v>5</v>
      </c>
      <c r="D20" s="32" t="s">
        <v>20</v>
      </c>
      <c r="E20" s="149" t="s">
        <v>2</v>
      </c>
      <c r="F20" s="150"/>
      <c r="G20" s="150"/>
      <c r="H20" s="150"/>
      <c r="I20" s="150"/>
      <c r="J20" s="150"/>
      <c r="K20" s="150"/>
      <c r="L20" s="151"/>
      <c r="M20" s="35"/>
    </row>
    <row r="21" spans="2:19" ht="15" customHeight="1" x14ac:dyDescent="0.2">
      <c r="B21" s="22">
        <v>1</v>
      </c>
      <c r="C21" s="76">
        <v>2000</v>
      </c>
      <c r="D21" s="14" t="s">
        <v>54</v>
      </c>
      <c r="E21" s="33" t="s">
        <v>134</v>
      </c>
      <c r="F21" s="25"/>
      <c r="G21" s="25"/>
      <c r="H21" s="25"/>
      <c r="I21" s="25"/>
      <c r="J21" s="25"/>
      <c r="K21" s="25"/>
      <c r="L21" s="17"/>
      <c r="M21" s="3"/>
    </row>
    <row r="22" spans="2:19" ht="15" customHeight="1" x14ac:dyDescent="0.3">
      <c r="B22" s="22">
        <f>+B21+1</f>
        <v>2</v>
      </c>
      <c r="C22" s="27"/>
      <c r="D22" s="19"/>
      <c r="E22" s="33" t="s">
        <v>141</v>
      </c>
      <c r="F22" s="29"/>
      <c r="G22" s="29"/>
      <c r="H22" s="29"/>
      <c r="I22" s="29"/>
      <c r="J22" s="29"/>
      <c r="K22" s="29"/>
      <c r="L22" s="17"/>
      <c r="M22" s="3"/>
      <c r="O22" s="30"/>
      <c r="P22" s="1"/>
      <c r="Q22" s="6"/>
      <c r="S22" s="3"/>
    </row>
    <row r="23" spans="2:19" ht="15" customHeight="1" x14ac:dyDescent="0.3">
      <c r="B23" s="22">
        <f t="shared" ref="B23:B30" si="0">+B22+1</f>
        <v>3</v>
      </c>
      <c r="C23" s="27"/>
      <c r="D23" s="19"/>
      <c r="E23" s="73"/>
      <c r="F23" s="77"/>
      <c r="G23" s="77"/>
      <c r="H23" s="77"/>
      <c r="I23" s="77"/>
      <c r="J23" s="77"/>
      <c r="K23" s="77"/>
      <c r="L23" s="23"/>
      <c r="M23" s="3"/>
      <c r="O23" s="30"/>
      <c r="P23" s="1"/>
      <c r="Q23" s="6"/>
      <c r="S23" s="3"/>
    </row>
    <row r="24" spans="2:19" ht="15" customHeight="1" x14ac:dyDescent="0.3">
      <c r="B24" s="22">
        <f t="shared" si="0"/>
        <v>4</v>
      </c>
      <c r="C24" s="27"/>
      <c r="D24" s="19"/>
      <c r="E24" s="24"/>
      <c r="F24" s="25"/>
      <c r="G24" s="25"/>
      <c r="H24" s="25"/>
      <c r="I24" s="25"/>
      <c r="J24" s="25"/>
      <c r="K24" s="25"/>
      <c r="L24" s="17"/>
      <c r="M24" s="3"/>
    </row>
    <row r="25" spans="2:19" ht="15" customHeight="1" x14ac:dyDescent="0.3">
      <c r="B25" s="22">
        <f t="shared" si="0"/>
        <v>5</v>
      </c>
      <c r="C25" s="26"/>
      <c r="D25" s="19"/>
      <c r="E25" s="16"/>
      <c r="F25" s="40"/>
      <c r="G25" s="40"/>
      <c r="H25" s="40"/>
      <c r="I25" s="40"/>
      <c r="J25" s="40"/>
      <c r="K25" s="40"/>
      <c r="L25" s="23"/>
      <c r="M25" s="3"/>
    </row>
    <row r="26" spans="2:19" ht="15" customHeight="1" x14ac:dyDescent="0.2">
      <c r="B26" s="22">
        <f t="shared" si="0"/>
        <v>6</v>
      </c>
      <c r="C26" s="26"/>
      <c r="D26" s="19"/>
      <c r="E26" s="38"/>
      <c r="F26" s="29"/>
      <c r="G26" s="29"/>
      <c r="H26" s="29"/>
      <c r="I26" s="29"/>
      <c r="J26" s="29"/>
      <c r="K26" s="29"/>
      <c r="L26" s="17"/>
      <c r="M26" s="3"/>
    </row>
    <row r="27" spans="2:19" ht="15" customHeight="1" x14ac:dyDescent="0.2">
      <c r="B27" s="22">
        <f t="shared" si="0"/>
        <v>7</v>
      </c>
      <c r="C27" s="12"/>
      <c r="D27" s="13"/>
      <c r="E27" s="80" t="s">
        <v>140</v>
      </c>
      <c r="F27" s="78"/>
      <c r="G27" s="78"/>
      <c r="H27" s="78"/>
      <c r="I27" s="78"/>
      <c r="J27" s="78"/>
      <c r="K27" s="78"/>
      <c r="L27" s="79"/>
      <c r="M27" s="3"/>
    </row>
    <row r="28" spans="2:19" ht="15" customHeight="1" x14ac:dyDescent="0.3">
      <c r="B28" s="22">
        <f t="shared" si="0"/>
        <v>8</v>
      </c>
      <c r="C28" s="15"/>
      <c r="D28" s="13"/>
      <c r="E28" s="16"/>
      <c r="F28" s="40"/>
      <c r="G28" s="40"/>
      <c r="H28" s="40"/>
      <c r="I28" s="40"/>
      <c r="J28" s="40"/>
      <c r="K28" s="40"/>
      <c r="L28" s="23"/>
      <c r="M28" s="3"/>
    </row>
    <row r="29" spans="2:19" ht="15" customHeight="1" x14ac:dyDescent="0.3">
      <c r="B29" s="22">
        <f t="shared" si="0"/>
        <v>9</v>
      </c>
      <c r="C29" s="15"/>
      <c r="D29" s="13"/>
      <c r="E29" s="24"/>
      <c r="F29" s="25"/>
      <c r="G29" s="25"/>
      <c r="H29" s="25"/>
      <c r="I29" s="25"/>
      <c r="J29" s="25"/>
      <c r="K29" s="25"/>
      <c r="L29" s="17"/>
      <c r="M29" s="3"/>
    </row>
    <row r="30" spans="2:19" ht="15" customHeight="1" x14ac:dyDescent="0.3">
      <c r="B30" s="22">
        <f t="shared" si="0"/>
        <v>10</v>
      </c>
      <c r="C30" s="12"/>
      <c r="D30" s="13"/>
      <c r="E30" s="24"/>
      <c r="F30" s="25"/>
      <c r="G30" s="25"/>
      <c r="H30" s="25"/>
      <c r="I30" s="25"/>
      <c r="J30" s="25"/>
      <c r="K30" s="25"/>
      <c r="L30" s="17"/>
      <c r="M30" s="3"/>
    </row>
    <row r="31" spans="2:19" ht="15" x14ac:dyDescent="0.3">
      <c r="B31" s="2"/>
      <c r="C31" s="2"/>
      <c r="D31" s="2"/>
      <c r="E31" s="6"/>
      <c r="F31" s="3"/>
      <c r="G31" s="3"/>
      <c r="H31" s="3"/>
      <c r="I31" s="3"/>
      <c r="J31" s="3"/>
      <c r="K31" s="3"/>
      <c r="L31" s="3"/>
      <c r="M31" s="3"/>
    </row>
    <row r="32" spans="2:19" ht="15.75" thickBot="1" x14ac:dyDescent="0.35">
      <c r="B32" s="5" t="s">
        <v>13</v>
      </c>
      <c r="C32" s="2"/>
      <c r="D32" s="36"/>
      <c r="E32" s="6"/>
      <c r="F32" s="3"/>
      <c r="G32" s="3"/>
      <c r="H32" s="3"/>
      <c r="I32" s="3"/>
      <c r="J32" s="3"/>
      <c r="K32" s="3"/>
      <c r="L32" s="3"/>
      <c r="M32" s="3"/>
    </row>
    <row r="33" spans="2:13" ht="15.75" thickBot="1" x14ac:dyDescent="0.35">
      <c r="B33" s="42" t="s">
        <v>14</v>
      </c>
      <c r="C33" s="43"/>
      <c r="D33" s="152">
        <v>311401</v>
      </c>
      <c r="E33" s="153"/>
      <c r="F33" s="6"/>
      <c r="G33" s="6"/>
      <c r="H33" s="6"/>
      <c r="I33" s="10"/>
      <c r="J33" s="10"/>
      <c r="K33" s="10"/>
      <c r="L33" s="39"/>
      <c r="M33" s="18"/>
    </row>
    <row r="34" spans="2:13" ht="15" x14ac:dyDescent="0.3">
      <c r="B34" s="2"/>
      <c r="C34" s="2"/>
      <c r="D34" s="36"/>
      <c r="E34" s="2"/>
      <c r="F34" s="6"/>
      <c r="G34" s="6"/>
      <c r="H34" s="6"/>
      <c r="I34" s="154" t="s">
        <v>16</v>
      </c>
      <c r="J34" s="154"/>
      <c r="K34" s="154"/>
      <c r="L34" s="154"/>
      <c r="M34" s="2"/>
    </row>
    <row r="35" spans="2:13" ht="15" x14ac:dyDescent="0.3">
      <c r="B35" s="2"/>
      <c r="C35" s="2"/>
      <c r="D35" s="36"/>
      <c r="E35" s="2"/>
      <c r="F35" s="6"/>
      <c r="G35" s="6"/>
      <c r="H35" s="6"/>
      <c r="I35" s="54"/>
      <c r="J35" s="54"/>
      <c r="K35" s="54"/>
      <c r="L35" s="54"/>
      <c r="M35" s="2"/>
    </row>
    <row r="36" spans="2:13" ht="15" x14ac:dyDescent="0.3">
      <c r="B36" s="2"/>
      <c r="C36" s="2"/>
      <c r="D36" s="36"/>
      <c r="E36" s="2"/>
      <c r="F36" s="6"/>
      <c r="G36" s="6"/>
      <c r="H36" s="6"/>
      <c r="I36" s="54"/>
      <c r="J36" s="54"/>
      <c r="K36" s="54"/>
      <c r="L36" s="54"/>
      <c r="M36" s="2"/>
    </row>
    <row r="37" spans="2:13" x14ac:dyDescent="0.2">
      <c r="B37" s="2"/>
      <c r="C37" s="2"/>
      <c r="D37" s="36"/>
      <c r="E37" s="2"/>
      <c r="F37" s="2"/>
      <c r="G37" s="2"/>
      <c r="H37" s="2"/>
      <c r="I37" s="2"/>
      <c r="J37" s="2"/>
      <c r="K37" s="2"/>
      <c r="L37" s="4"/>
      <c r="M37" s="4"/>
    </row>
    <row r="38" spans="2:13" x14ac:dyDescent="0.2">
      <c r="B38" s="2"/>
      <c r="C38" s="2"/>
      <c r="D38" s="36"/>
      <c r="E38" s="2"/>
      <c r="F38" s="2"/>
      <c r="G38" s="7"/>
      <c r="H38" s="7"/>
      <c r="I38" s="148" t="s">
        <v>17</v>
      </c>
      <c r="J38" s="148"/>
      <c r="K38" s="148"/>
      <c r="L38" s="148"/>
      <c r="M38" s="4"/>
    </row>
    <row r="39" spans="2:13" x14ac:dyDescent="0.2">
      <c r="B39" s="2"/>
      <c r="C39" s="2"/>
      <c r="D39" s="36"/>
      <c r="E39" s="2"/>
      <c r="F39" s="2"/>
      <c r="G39" s="7"/>
      <c r="H39" s="7"/>
      <c r="I39" s="52"/>
      <c r="J39" s="52"/>
      <c r="K39" s="52"/>
      <c r="L39" s="52"/>
      <c r="M39" s="4"/>
    </row>
    <row r="40" spans="2:13" x14ac:dyDescent="0.2">
      <c r="B40" s="2"/>
      <c r="C40" s="2"/>
      <c r="D40" s="36"/>
      <c r="E40" s="2"/>
      <c r="F40" s="2"/>
      <c r="G40" s="7"/>
      <c r="H40" s="7"/>
      <c r="I40" s="52"/>
      <c r="J40" s="52"/>
      <c r="K40" s="52"/>
      <c r="L40" s="52"/>
      <c r="M40" s="4"/>
    </row>
    <row r="41" spans="2:13" x14ac:dyDescent="0.2">
      <c r="B41" s="2"/>
      <c r="C41" s="2"/>
      <c r="D41" s="2"/>
      <c r="E41" s="7"/>
      <c r="F41" s="7"/>
      <c r="G41" s="7"/>
      <c r="H41" s="7"/>
      <c r="I41" s="148"/>
      <c r="J41" s="148"/>
      <c r="K41" s="148"/>
      <c r="L41" s="148"/>
      <c r="M41" s="4"/>
    </row>
    <row r="42" spans="2:13" ht="13.5" thickBot="1" x14ac:dyDescent="0.25">
      <c r="B42" s="2"/>
      <c r="C42" s="147"/>
      <c r="D42" s="147"/>
      <c r="E42" s="147"/>
      <c r="F42" s="147"/>
      <c r="G42" s="7"/>
      <c r="H42" s="7"/>
      <c r="I42" s="56"/>
      <c r="J42" s="56"/>
      <c r="K42" s="56"/>
      <c r="L42" s="57"/>
      <c r="M42" s="4"/>
    </row>
    <row r="43" spans="2:13" x14ac:dyDescent="0.2">
      <c r="B43" s="2"/>
      <c r="C43" s="148" t="s">
        <v>85</v>
      </c>
      <c r="D43" s="148"/>
      <c r="E43" s="148"/>
      <c r="F43" s="148"/>
      <c r="G43" s="7"/>
      <c r="H43" s="7"/>
      <c r="I43" s="148" t="s">
        <v>86</v>
      </c>
      <c r="J43" s="148"/>
      <c r="K43" s="148"/>
      <c r="L43" s="148"/>
      <c r="M43" s="4"/>
    </row>
    <row r="44" spans="2:13" x14ac:dyDescent="0.2">
      <c r="B44" s="2"/>
      <c r="C44" s="148" t="s">
        <v>6</v>
      </c>
      <c r="D44" s="148"/>
      <c r="E44" s="148"/>
      <c r="F44" s="148"/>
      <c r="G44" s="2"/>
      <c r="H44" s="2"/>
      <c r="I44" s="148" t="s">
        <v>87</v>
      </c>
      <c r="J44" s="148"/>
      <c r="K44" s="148"/>
      <c r="L44" s="148"/>
      <c r="M44" s="4"/>
    </row>
    <row r="45" spans="2:13" x14ac:dyDescent="0.2">
      <c r="B45" s="2"/>
      <c r="C45" s="148" t="s">
        <v>21</v>
      </c>
      <c r="D45" s="148"/>
      <c r="E45" s="148"/>
      <c r="F45" s="148"/>
      <c r="G45" s="7"/>
      <c r="H45" s="7"/>
      <c r="I45" s="148" t="s">
        <v>15</v>
      </c>
      <c r="J45" s="148"/>
      <c r="K45" s="148"/>
      <c r="L45" s="148"/>
      <c r="M45" s="4"/>
    </row>
    <row r="46" spans="2:13" x14ac:dyDescent="0.2">
      <c r="B46" s="2"/>
      <c r="C46" s="148"/>
      <c r="D46" s="148"/>
      <c r="E46" s="148"/>
      <c r="F46" s="148"/>
      <c r="G46" s="7"/>
      <c r="H46" s="7"/>
      <c r="I46" s="148"/>
      <c r="J46" s="148"/>
      <c r="K46" s="148"/>
      <c r="L46" s="148"/>
      <c r="M46" s="4"/>
    </row>
    <row r="47" spans="2:13" x14ac:dyDescent="0.2">
      <c r="B47" s="2"/>
      <c r="C47" s="148"/>
      <c r="D47" s="148"/>
      <c r="E47" s="148"/>
      <c r="F47" s="148"/>
      <c r="G47" s="7"/>
      <c r="H47" s="7"/>
      <c r="I47" s="148"/>
      <c r="J47" s="148"/>
      <c r="K47" s="148"/>
      <c r="L47" s="148"/>
      <c r="M47" s="4"/>
    </row>
    <row r="48" spans="2:13" x14ac:dyDescent="0.2">
      <c r="B48" s="44" t="s">
        <v>3</v>
      </c>
      <c r="C48" s="45"/>
      <c r="D48" s="45"/>
      <c r="E48" s="45"/>
      <c r="F48" s="45"/>
      <c r="G48" s="45"/>
      <c r="L48" s="2"/>
      <c r="M48" s="2"/>
    </row>
    <row r="49" spans="2:13" x14ac:dyDescent="0.2">
      <c r="B49" s="44" t="s">
        <v>4</v>
      </c>
      <c r="C49" s="45"/>
      <c r="D49" s="45"/>
      <c r="E49" s="45"/>
      <c r="F49" s="45"/>
      <c r="G49" s="45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8" t="s">
        <v>1</v>
      </c>
      <c r="G51" s="8"/>
      <c r="H51" s="8"/>
      <c r="I51" s="8"/>
      <c r="J51" s="8"/>
      <c r="K51" s="8"/>
      <c r="L51" s="2"/>
      <c r="M51" s="2"/>
    </row>
  </sheetData>
  <mergeCells count="21">
    <mergeCell ref="A1:D1"/>
    <mergeCell ref="A2:D2"/>
    <mergeCell ref="A3:D3"/>
    <mergeCell ref="A4:D4"/>
    <mergeCell ref="B5:L5"/>
    <mergeCell ref="E20:L20"/>
    <mergeCell ref="D33:E33"/>
    <mergeCell ref="I34:L34"/>
    <mergeCell ref="I38:L38"/>
    <mergeCell ref="I41:L41"/>
    <mergeCell ref="C42:F42"/>
    <mergeCell ref="C43:F43"/>
    <mergeCell ref="I43:L43"/>
    <mergeCell ref="C47:F47"/>
    <mergeCell ref="I47:L47"/>
    <mergeCell ref="C44:F44"/>
    <mergeCell ref="I44:L44"/>
    <mergeCell ref="C45:F45"/>
    <mergeCell ref="I45:L45"/>
    <mergeCell ref="C46:F46"/>
    <mergeCell ref="I46:L46"/>
  </mergeCells>
  <pageMargins left="0.39370078740157483" right="0.19685039370078741" top="0.51181102362204722" bottom="0.59055118110236227" header="0" footer="0"/>
  <pageSetup scale="88" orientation="portrait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8"/>
  <dimension ref="A1:S51"/>
  <sheetViews>
    <sheetView workbookViewId="0">
      <selection activeCell="I25" sqref="I25"/>
    </sheetView>
  </sheetViews>
  <sheetFormatPr baseColWidth="10" defaultRowHeight="12.75" x14ac:dyDescent="0.2"/>
  <cols>
    <col min="1" max="1" width="5" customWidth="1"/>
    <col min="2" max="2" width="7.42578125" customWidth="1"/>
    <col min="3" max="3" width="6.85546875" customWidth="1"/>
    <col min="4" max="4" width="9.140625" customWidth="1"/>
    <col min="5" max="5" width="11.7109375" customWidth="1"/>
    <col min="6" max="9" width="8.28515625" customWidth="1"/>
    <col min="10" max="10" width="4.5703125" customWidth="1"/>
    <col min="11" max="11" width="8.28515625" customWidth="1"/>
    <col min="12" max="12" width="12" customWidth="1"/>
    <col min="13" max="13" width="10.85546875" customWidth="1"/>
  </cols>
  <sheetData>
    <row r="1" spans="1:13" x14ac:dyDescent="0.2">
      <c r="A1" s="155" t="s">
        <v>0</v>
      </c>
      <c r="B1" s="155"/>
      <c r="C1" s="155"/>
      <c r="D1" s="155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56" t="s">
        <v>8</v>
      </c>
      <c r="B2" s="156"/>
      <c r="C2" s="156"/>
      <c r="D2" s="156"/>
      <c r="E2" s="2"/>
      <c r="F2" s="2"/>
      <c r="G2" s="2"/>
      <c r="H2" s="2"/>
      <c r="I2" s="2"/>
      <c r="J2" s="2"/>
      <c r="K2" s="2"/>
      <c r="L2" s="21"/>
      <c r="M2" s="21"/>
    </row>
    <row r="3" spans="1:13" ht="15.75" x14ac:dyDescent="0.25">
      <c r="A3" s="156" t="s">
        <v>7</v>
      </c>
      <c r="B3" s="156"/>
      <c r="C3" s="156"/>
      <c r="D3" s="156"/>
      <c r="E3" s="2"/>
      <c r="F3" s="2"/>
      <c r="G3" s="2"/>
      <c r="H3" s="21"/>
      <c r="I3" s="21"/>
      <c r="J3" s="21"/>
      <c r="K3" s="37"/>
      <c r="L3" s="37"/>
      <c r="M3" s="21"/>
    </row>
    <row r="4" spans="1:13" ht="13.5" customHeight="1" x14ac:dyDescent="0.3">
      <c r="A4" s="155"/>
      <c r="B4" s="155"/>
      <c r="C4" s="155"/>
      <c r="D4" s="155"/>
      <c r="E4" s="2"/>
      <c r="F4" s="6"/>
      <c r="G4" s="6"/>
      <c r="H4" s="6"/>
      <c r="I4" s="6"/>
      <c r="J4" s="6"/>
      <c r="K4" s="6"/>
      <c r="L4" s="7"/>
      <c r="M4" s="7"/>
    </row>
    <row r="5" spans="1:13" ht="18" x14ac:dyDescent="0.25">
      <c r="B5" s="157" t="s">
        <v>10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34"/>
    </row>
    <row r="6" spans="1:13" ht="13.5" thickBo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B7" s="2"/>
      <c r="C7" s="2"/>
      <c r="D7" s="2"/>
      <c r="E7" s="2"/>
      <c r="F7" s="2"/>
      <c r="G7" s="2"/>
      <c r="H7" s="46" t="s">
        <v>11</v>
      </c>
      <c r="I7" s="48"/>
      <c r="J7" s="47"/>
      <c r="K7" s="53" t="s">
        <v>135</v>
      </c>
      <c r="L7" s="48"/>
      <c r="M7" s="2"/>
    </row>
    <row r="8" spans="1:13" ht="12.75" customHeight="1" thickBot="1" x14ac:dyDescent="0.25">
      <c r="B8" s="2"/>
      <c r="C8" s="2"/>
      <c r="D8" s="2"/>
      <c r="E8" s="2"/>
      <c r="F8" s="2"/>
      <c r="G8" s="2"/>
      <c r="H8" s="49"/>
      <c r="I8" s="51"/>
      <c r="J8" s="50"/>
      <c r="K8" s="50"/>
      <c r="L8" s="51"/>
      <c r="M8" s="2"/>
    </row>
    <row r="9" spans="1:13" x14ac:dyDescent="0.2">
      <c r="B9" s="5" t="s">
        <v>136</v>
      </c>
      <c r="C9" s="2"/>
      <c r="D9" s="2"/>
      <c r="E9" s="2"/>
      <c r="F9" s="2"/>
      <c r="G9" s="5"/>
      <c r="H9" s="5"/>
      <c r="I9" s="5"/>
      <c r="J9" s="5"/>
      <c r="K9" s="5"/>
      <c r="L9" s="5"/>
      <c r="M9" s="2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x14ac:dyDescent="0.3">
      <c r="B11" s="21" t="s">
        <v>18</v>
      </c>
      <c r="C11" s="6"/>
      <c r="D11" s="21"/>
      <c r="E11" s="6"/>
      <c r="F11" s="6"/>
      <c r="G11" s="21"/>
      <c r="H11" s="6"/>
      <c r="I11" s="6"/>
      <c r="J11" s="6"/>
      <c r="K11" s="6"/>
      <c r="L11" s="6"/>
      <c r="M11" s="6"/>
    </row>
    <row r="12" spans="1:13" ht="15" x14ac:dyDescent="0.3">
      <c r="B12" s="21"/>
      <c r="C12" s="6"/>
      <c r="D12" s="6"/>
      <c r="E12" s="6"/>
      <c r="F12" s="6"/>
      <c r="G12" s="21"/>
      <c r="H12" s="6"/>
      <c r="I12" s="6"/>
      <c r="J12" s="6"/>
      <c r="K12" s="6"/>
      <c r="L12" s="6"/>
      <c r="M12" s="6"/>
    </row>
    <row r="13" spans="1:13" ht="15" x14ac:dyDescent="0.3">
      <c r="B13" s="20" t="s">
        <v>9</v>
      </c>
      <c r="C13" s="21"/>
      <c r="D13" s="6" t="s">
        <v>83</v>
      </c>
      <c r="E13" s="9"/>
      <c r="F13" s="6"/>
      <c r="G13" s="6"/>
      <c r="H13" s="6"/>
      <c r="I13" s="6"/>
      <c r="J13" s="6"/>
      <c r="K13" s="6"/>
      <c r="L13" s="6"/>
      <c r="M13" s="6"/>
    </row>
    <row r="14" spans="1:13" ht="15" x14ac:dyDescent="0.3">
      <c r="B14" s="20"/>
      <c r="C14" s="6"/>
      <c r="D14" s="6"/>
      <c r="E14" s="9"/>
      <c r="F14" s="6"/>
      <c r="G14" s="6"/>
      <c r="H14" s="6"/>
      <c r="I14" s="6"/>
      <c r="J14" s="6"/>
      <c r="K14" s="6"/>
      <c r="L14" s="6"/>
      <c r="M14" s="6"/>
    </row>
    <row r="15" spans="1:13" ht="15" x14ac:dyDescent="0.3">
      <c r="B15" s="20" t="s">
        <v>33</v>
      </c>
      <c r="C15" s="6"/>
      <c r="D15" s="6" t="s">
        <v>84</v>
      </c>
      <c r="E15" s="9"/>
      <c r="F15" s="21"/>
      <c r="G15" s="21"/>
      <c r="H15" s="21"/>
      <c r="I15" s="21"/>
      <c r="J15" s="21"/>
      <c r="K15" s="21"/>
      <c r="L15" s="7"/>
      <c r="M15" s="7"/>
    </row>
    <row r="16" spans="1:13" ht="15" x14ac:dyDescent="0.3">
      <c r="B16" s="20"/>
      <c r="C16" s="6"/>
      <c r="D16" s="6"/>
      <c r="E16" s="9"/>
      <c r="F16" s="21"/>
      <c r="G16" s="21"/>
      <c r="H16" s="21"/>
      <c r="I16" s="21"/>
      <c r="J16" s="21"/>
      <c r="K16" s="21"/>
      <c r="L16" s="7"/>
      <c r="M16" s="7"/>
    </row>
    <row r="17" spans="2:19" ht="15" x14ac:dyDescent="0.3">
      <c r="B17" s="21" t="s">
        <v>12</v>
      </c>
      <c r="C17" s="6"/>
      <c r="D17" s="6"/>
      <c r="E17" s="6"/>
      <c r="F17" s="6"/>
      <c r="G17" s="6"/>
      <c r="H17" s="6"/>
      <c r="I17" s="6"/>
      <c r="J17" s="6"/>
      <c r="K17" s="10"/>
      <c r="L17" s="10"/>
      <c r="M17" s="6"/>
    </row>
    <row r="18" spans="2:19" ht="15" x14ac:dyDescent="0.3">
      <c r="B18" s="40"/>
      <c r="C18" s="10"/>
      <c r="D18" s="10"/>
      <c r="E18" s="41"/>
      <c r="F18" s="10"/>
      <c r="G18" s="10"/>
      <c r="H18" s="10"/>
      <c r="I18" s="10"/>
      <c r="J18" s="10"/>
      <c r="K18" s="10"/>
      <c r="L18" s="10"/>
      <c r="M18" s="6"/>
    </row>
    <row r="19" spans="2:19" ht="15" x14ac:dyDescent="0.3">
      <c r="B19" s="11"/>
      <c r="C19" s="11"/>
      <c r="D19" s="11"/>
      <c r="E19" s="6" t="s">
        <v>1</v>
      </c>
      <c r="F19" s="11"/>
      <c r="G19" s="11"/>
      <c r="H19" s="11"/>
      <c r="I19" s="11"/>
      <c r="J19" s="11"/>
      <c r="K19" s="11"/>
      <c r="L19" s="11" t="s">
        <v>1</v>
      </c>
      <c r="M19" s="11"/>
    </row>
    <row r="20" spans="2:19" ht="15.75" x14ac:dyDescent="0.25">
      <c r="B20" s="31" t="s">
        <v>19</v>
      </c>
      <c r="C20" s="32" t="s">
        <v>5</v>
      </c>
      <c r="D20" s="32" t="s">
        <v>20</v>
      </c>
      <c r="E20" s="149" t="s">
        <v>2</v>
      </c>
      <c r="F20" s="150"/>
      <c r="G20" s="150"/>
      <c r="H20" s="150"/>
      <c r="I20" s="150"/>
      <c r="J20" s="150"/>
      <c r="K20" s="150"/>
      <c r="L20" s="151"/>
      <c r="M20" s="35"/>
    </row>
    <row r="21" spans="2:19" ht="15" customHeight="1" x14ac:dyDescent="0.2">
      <c r="B21" s="22">
        <v>1</v>
      </c>
      <c r="C21" s="76">
        <v>2000</v>
      </c>
      <c r="D21" s="14" t="s">
        <v>54</v>
      </c>
      <c r="E21" s="33" t="s">
        <v>137</v>
      </c>
      <c r="F21" s="25"/>
      <c r="G21" s="25"/>
      <c r="H21" s="25"/>
      <c r="I21" s="25"/>
      <c r="J21" s="25"/>
      <c r="K21" s="25"/>
      <c r="L21" s="17"/>
      <c r="M21" s="3"/>
    </row>
    <row r="22" spans="2:19" ht="15" customHeight="1" x14ac:dyDescent="0.3">
      <c r="B22" s="22">
        <f>+B21+1</f>
        <v>2</v>
      </c>
      <c r="C22" s="27"/>
      <c r="D22" s="19"/>
      <c r="E22" s="33" t="s">
        <v>138</v>
      </c>
      <c r="F22" s="29"/>
      <c r="G22" s="29"/>
      <c r="H22" s="29"/>
      <c r="I22" s="29"/>
      <c r="J22" s="29"/>
      <c r="K22" s="29"/>
      <c r="L22" s="17"/>
      <c r="M22" s="3"/>
      <c r="O22" s="30"/>
      <c r="P22" s="1"/>
      <c r="Q22" s="6"/>
      <c r="S22" s="3"/>
    </row>
    <row r="23" spans="2:19" ht="15" customHeight="1" x14ac:dyDescent="0.3">
      <c r="B23" s="22">
        <f t="shared" ref="B23:B30" si="0">+B22+1</f>
        <v>3</v>
      </c>
      <c r="C23" s="27"/>
      <c r="D23" s="19"/>
      <c r="E23" s="73" t="s">
        <v>139</v>
      </c>
      <c r="F23" s="77"/>
      <c r="G23" s="77"/>
      <c r="H23" s="77"/>
      <c r="I23" s="77"/>
      <c r="J23" s="77"/>
      <c r="K23" s="77"/>
      <c r="L23" s="23"/>
      <c r="M23" s="3"/>
      <c r="O23" s="30"/>
      <c r="P23" s="1"/>
      <c r="Q23" s="6"/>
      <c r="S23" s="3"/>
    </row>
    <row r="24" spans="2:19" ht="15" customHeight="1" x14ac:dyDescent="0.3">
      <c r="B24" s="22">
        <f t="shared" si="0"/>
        <v>4</v>
      </c>
      <c r="C24" s="27"/>
      <c r="D24" s="19"/>
      <c r="E24" s="24"/>
      <c r="F24" s="25"/>
      <c r="G24" s="25"/>
      <c r="H24" s="25"/>
      <c r="I24" s="25"/>
      <c r="J24" s="25"/>
      <c r="K24" s="25"/>
      <c r="L24" s="17"/>
      <c r="M24" s="3"/>
    </row>
    <row r="25" spans="2:19" ht="15" customHeight="1" x14ac:dyDescent="0.3">
      <c r="B25" s="22">
        <f t="shared" si="0"/>
        <v>5</v>
      </c>
      <c r="C25" s="26"/>
      <c r="D25" s="19"/>
      <c r="E25" s="16"/>
      <c r="F25" s="40"/>
      <c r="G25" s="40"/>
      <c r="H25" s="40"/>
      <c r="I25" s="40"/>
      <c r="J25" s="40"/>
      <c r="K25" s="40"/>
      <c r="L25" s="23"/>
      <c r="M25" s="3"/>
    </row>
    <row r="26" spans="2:19" ht="15" customHeight="1" x14ac:dyDescent="0.2">
      <c r="B26" s="22">
        <f t="shared" si="0"/>
        <v>6</v>
      </c>
      <c r="C26" s="26"/>
      <c r="D26" s="19"/>
      <c r="E26" s="38"/>
      <c r="F26" s="29"/>
      <c r="G26" s="29"/>
      <c r="H26" s="29"/>
      <c r="I26" s="29"/>
      <c r="J26" s="29"/>
      <c r="K26" s="29"/>
      <c r="L26" s="17"/>
      <c r="M26" s="3"/>
    </row>
    <row r="27" spans="2:19" ht="15" customHeight="1" x14ac:dyDescent="0.3">
      <c r="B27" s="22">
        <f t="shared" si="0"/>
        <v>7</v>
      </c>
      <c r="C27" s="12"/>
      <c r="D27" s="13"/>
      <c r="E27" s="24"/>
      <c r="F27" s="25"/>
      <c r="G27" s="25"/>
      <c r="H27" s="25"/>
      <c r="I27" s="25"/>
      <c r="J27" s="25"/>
      <c r="K27" s="25"/>
      <c r="L27" s="17"/>
      <c r="M27" s="3"/>
    </row>
    <row r="28" spans="2:19" ht="15" customHeight="1" x14ac:dyDescent="0.3">
      <c r="B28" s="22">
        <f t="shared" si="0"/>
        <v>8</v>
      </c>
      <c r="C28" s="15"/>
      <c r="D28" s="13"/>
      <c r="E28" s="16"/>
      <c r="F28" s="40"/>
      <c r="G28" s="40"/>
      <c r="H28" s="40"/>
      <c r="I28" s="40"/>
      <c r="J28" s="40"/>
      <c r="K28" s="40"/>
      <c r="L28" s="23"/>
      <c r="M28" s="3"/>
    </row>
    <row r="29" spans="2:19" ht="15" customHeight="1" x14ac:dyDescent="0.3">
      <c r="B29" s="22">
        <f t="shared" si="0"/>
        <v>9</v>
      </c>
      <c r="C29" s="15"/>
      <c r="D29" s="13"/>
      <c r="E29" s="24"/>
      <c r="F29" s="25"/>
      <c r="G29" s="25"/>
      <c r="H29" s="25"/>
      <c r="I29" s="25"/>
      <c r="J29" s="25"/>
      <c r="K29" s="25"/>
      <c r="L29" s="17"/>
      <c r="M29" s="3"/>
    </row>
    <row r="30" spans="2:19" ht="15" customHeight="1" x14ac:dyDescent="0.3">
      <c r="B30" s="22">
        <f t="shared" si="0"/>
        <v>10</v>
      </c>
      <c r="C30" s="12"/>
      <c r="D30" s="13"/>
      <c r="E30" s="24"/>
      <c r="F30" s="25"/>
      <c r="G30" s="25"/>
      <c r="H30" s="25"/>
      <c r="I30" s="25"/>
      <c r="J30" s="25"/>
      <c r="K30" s="25"/>
      <c r="L30" s="17"/>
      <c r="M30" s="3"/>
    </row>
    <row r="31" spans="2:19" ht="15" x14ac:dyDescent="0.3">
      <c r="B31" s="2"/>
      <c r="C31" s="2"/>
      <c r="D31" s="2"/>
      <c r="E31" s="6"/>
      <c r="F31" s="3"/>
      <c r="G31" s="3"/>
      <c r="H31" s="3"/>
      <c r="I31" s="3"/>
      <c r="J31" s="3"/>
      <c r="K31" s="3"/>
      <c r="L31" s="3"/>
      <c r="M31" s="3"/>
    </row>
    <row r="32" spans="2:19" ht="15.75" thickBot="1" x14ac:dyDescent="0.35">
      <c r="B32" s="5" t="s">
        <v>13</v>
      </c>
      <c r="C32" s="2"/>
      <c r="D32" s="36"/>
      <c r="E32" s="6"/>
      <c r="F32" s="3"/>
      <c r="G32" s="3"/>
      <c r="H32" s="3"/>
      <c r="I32" s="3"/>
      <c r="J32" s="3"/>
      <c r="K32" s="3"/>
      <c r="L32" s="3"/>
      <c r="M32" s="3"/>
    </row>
    <row r="33" spans="2:13" ht="15.75" thickBot="1" x14ac:dyDescent="0.35">
      <c r="B33" s="42" t="s">
        <v>14</v>
      </c>
      <c r="C33" s="43"/>
      <c r="D33" s="152">
        <v>311401</v>
      </c>
      <c r="E33" s="153"/>
      <c r="F33" s="6"/>
      <c r="G33" s="6"/>
      <c r="H33" s="6"/>
      <c r="I33" s="10"/>
      <c r="J33" s="10"/>
      <c r="K33" s="10"/>
      <c r="L33" s="39"/>
      <c r="M33" s="18"/>
    </row>
    <row r="34" spans="2:13" ht="15" x14ac:dyDescent="0.3">
      <c r="B34" s="2"/>
      <c r="C34" s="2"/>
      <c r="D34" s="36"/>
      <c r="E34" s="2"/>
      <c r="F34" s="6"/>
      <c r="G34" s="6"/>
      <c r="H34" s="6"/>
      <c r="I34" s="154" t="s">
        <v>16</v>
      </c>
      <c r="J34" s="154"/>
      <c r="K34" s="154"/>
      <c r="L34" s="154"/>
      <c r="M34" s="2"/>
    </row>
    <row r="35" spans="2:13" ht="15" x14ac:dyDescent="0.3">
      <c r="B35" s="2"/>
      <c r="C35" s="2"/>
      <c r="D35" s="36"/>
      <c r="E35" s="2"/>
      <c r="F35" s="6"/>
      <c r="G35" s="6"/>
      <c r="H35" s="6"/>
      <c r="I35" s="54"/>
      <c r="J35" s="54"/>
      <c r="K35" s="54"/>
      <c r="L35" s="54"/>
      <c r="M35" s="2"/>
    </row>
    <row r="36" spans="2:13" ht="15" x14ac:dyDescent="0.3">
      <c r="B36" s="2"/>
      <c r="C36" s="2"/>
      <c r="D36" s="36"/>
      <c r="E36" s="2"/>
      <c r="F36" s="6"/>
      <c r="G36" s="6"/>
      <c r="H36" s="6"/>
      <c r="I36" s="54"/>
      <c r="J36" s="54"/>
      <c r="K36" s="54"/>
      <c r="L36" s="54"/>
      <c r="M36" s="2"/>
    </row>
    <row r="37" spans="2:13" x14ac:dyDescent="0.2">
      <c r="B37" s="2"/>
      <c r="C37" s="2"/>
      <c r="D37" s="36"/>
      <c r="E37" s="2"/>
      <c r="F37" s="2"/>
      <c r="G37" s="2"/>
      <c r="H37" s="2"/>
      <c r="I37" s="2"/>
      <c r="J37" s="2"/>
      <c r="K37" s="2"/>
      <c r="L37" s="4"/>
      <c r="M37" s="4"/>
    </row>
    <row r="38" spans="2:13" x14ac:dyDescent="0.2">
      <c r="B38" s="2"/>
      <c r="C38" s="2"/>
      <c r="D38" s="36"/>
      <c r="E38" s="2"/>
      <c r="F38" s="2"/>
      <c r="G38" s="7"/>
      <c r="H38" s="7"/>
      <c r="I38" s="148" t="s">
        <v>17</v>
      </c>
      <c r="J38" s="148"/>
      <c r="K38" s="148"/>
      <c r="L38" s="148"/>
      <c r="M38" s="4"/>
    </row>
    <row r="39" spans="2:13" x14ac:dyDescent="0.2">
      <c r="B39" s="2"/>
      <c r="C39" s="2"/>
      <c r="D39" s="36"/>
      <c r="E39" s="2"/>
      <c r="F39" s="2"/>
      <c r="G39" s="7"/>
      <c r="H39" s="7"/>
      <c r="I39" s="52"/>
      <c r="J39" s="52"/>
      <c r="K39" s="52"/>
      <c r="L39" s="52"/>
      <c r="M39" s="4"/>
    </row>
    <row r="40" spans="2:13" x14ac:dyDescent="0.2">
      <c r="B40" s="2"/>
      <c r="C40" s="2"/>
      <c r="D40" s="36"/>
      <c r="E40" s="2"/>
      <c r="F40" s="2"/>
      <c r="G40" s="7"/>
      <c r="H40" s="7"/>
      <c r="I40" s="52"/>
      <c r="J40" s="52"/>
      <c r="K40" s="52"/>
      <c r="L40" s="52"/>
      <c r="M40" s="4"/>
    </row>
    <row r="41" spans="2:13" x14ac:dyDescent="0.2">
      <c r="B41" s="2"/>
      <c r="C41" s="2"/>
      <c r="D41" s="2"/>
      <c r="E41" s="7"/>
      <c r="F41" s="7"/>
      <c r="G41" s="7"/>
      <c r="H41" s="7"/>
      <c r="I41" s="148"/>
      <c r="J41" s="148"/>
      <c r="K41" s="148"/>
      <c r="L41" s="148"/>
      <c r="M41" s="4"/>
    </row>
    <row r="42" spans="2:13" ht="13.5" thickBot="1" x14ac:dyDescent="0.25">
      <c r="B42" s="2"/>
      <c r="C42" s="147"/>
      <c r="D42" s="147"/>
      <c r="E42" s="147"/>
      <c r="F42" s="147"/>
      <c r="G42" s="7"/>
      <c r="H42" s="7"/>
      <c r="I42" s="56"/>
      <c r="J42" s="56"/>
      <c r="K42" s="56"/>
      <c r="L42" s="57"/>
      <c r="M42" s="4"/>
    </row>
    <row r="43" spans="2:13" x14ac:dyDescent="0.2">
      <c r="B43" s="2"/>
      <c r="C43" s="148" t="s">
        <v>85</v>
      </c>
      <c r="D43" s="148"/>
      <c r="E43" s="148"/>
      <c r="F43" s="148"/>
      <c r="G43" s="7"/>
      <c r="H43" s="7"/>
      <c r="I43" s="148" t="s">
        <v>86</v>
      </c>
      <c r="J43" s="148"/>
      <c r="K43" s="148"/>
      <c r="L43" s="148"/>
      <c r="M43" s="4"/>
    </row>
    <row r="44" spans="2:13" x14ac:dyDescent="0.2">
      <c r="B44" s="2"/>
      <c r="C44" s="148" t="s">
        <v>6</v>
      </c>
      <c r="D44" s="148"/>
      <c r="E44" s="148"/>
      <c r="F44" s="148"/>
      <c r="G44" s="2"/>
      <c r="H44" s="2"/>
      <c r="I44" s="148" t="s">
        <v>87</v>
      </c>
      <c r="J44" s="148"/>
      <c r="K44" s="148"/>
      <c r="L44" s="148"/>
      <c r="M44" s="4"/>
    </row>
    <row r="45" spans="2:13" x14ac:dyDescent="0.2">
      <c r="B45" s="2"/>
      <c r="C45" s="148" t="s">
        <v>21</v>
      </c>
      <c r="D45" s="148"/>
      <c r="E45" s="148"/>
      <c r="F45" s="148"/>
      <c r="G45" s="7"/>
      <c r="H45" s="7"/>
      <c r="I45" s="148" t="s">
        <v>15</v>
      </c>
      <c r="J45" s="148"/>
      <c r="K45" s="148"/>
      <c r="L45" s="148"/>
      <c r="M45" s="4"/>
    </row>
    <row r="46" spans="2:13" x14ac:dyDescent="0.2">
      <c r="B46" s="2"/>
      <c r="C46" s="148"/>
      <c r="D46" s="148"/>
      <c r="E46" s="148"/>
      <c r="F46" s="148"/>
      <c r="G46" s="7"/>
      <c r="H46" s="7"/>
      <c r="I46" s="148"/>
      <c r="J46" s="148"/>
      <c r="K46" s="148"/>
      <c r="L46" s="148"/>
      <c r="M46" s="4"/>
    </row>
    <row r="47" spans="2:13" x14ac:dyDescent="0.2">
      <c r="B47" s="2"/>
      <c r="C47" s="148"/>
      <c r="D47" s="148"/>
      <c r="E47" s="148"/>
      <c r="F47" s="148"/>
      <c r="G47" s="7"/>
      <c r="H47" s="7"/>
      <c r="I47" s="148"/>
      <c r="J47" s="148"/>
      <c r="K47" s="148"/>
      <c r="L47" s="148"/>
      <c r="M47" s="4"/>
    </row>
    <row r="48" spans="2:13" x14ac:dyDescent="0.2">
      <c r="B48" s="44" t="s">
        <v>3</v>
      </c>
      <c r="C48" s="45"/>
      <c r="D48" s="45"/>
      <c r="E48" s="45"/>
      <c r="F48" s="45"/>
      <c r="G48" s="45"/>
      <c r="L48" s="2"/>
      <c r="M48" s="2"/>
    </row>
    <row r="49" spans="2:13" x14ac:dyDescent="0.2">
      <c r="B49" s="44" t="s">
        <v>4</v>
      </c>
      <c r="C49" s="45"/>
      <c r="D49" s="45"/>
      <c r="E49" s="45"/>
      <c r="F49" s="45"/>
      <c r="G49" s="45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8" t="s">
        <v>1</v>
      </c>
      <c r="G51" s="8"/>
      <c r="H51" s="8"/>
      <c r="I51" s="8"/>
      <c r="J51" s="8"/>
      <c r="K51" s="8"/>
      <c r="L51" s="2"/>
      <c r="M51" s="2"/>
    </row>
  </sheetData>
  <mergeCells count="21">
    <mergeCell ref="C47:F47"/>
    <mergeCell ref="I47:L47"/>
    <mergeCell ref="C44:F44"/>
    <mergeCell ref="I44:L44"/>
    <mergeCell ref="C45:F45"/>
    <mergeCell ref="I45:L45"/>
    <mergeCell ref="C46:F46"/>
    <mergeCell ref="I46:L46"/>
    <mergeCell ref="C43:F43"/>
    <mergeCell ref="I43:L43"/>
    <mergeCell ref="A1:D1"/>
    <mergeCell ref="A2:D2"/>
    <mergeCell ref="A3:D3"/>
    <mergeCell ref="A4:D4"/>
    <mergeCell ref="B5:L5"/>
    <mergeCell ref="E20:L20"/>
    <mergeCell ref="D33:E33"/>
    <mergeCell ref="I34:L34"/>
    <mergeCell ref="I38:L38"/>
    <mergeCell ref="I41:L41"/>
    <mergeCell ref="C42:F42"/>
  </mergeCells>
  <pageMargins left="0.39370078740157483" right="0.19685039370078741" top="0.51181102362204722" bottom="0.59055118110236227" header="0" footer="0"/>
  <pageSetup scale="88"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9"/>
  <dimension ref="A1:S51"/>
  <sheetViews>
    <sheetView workbookViewId="0">
      <selection activeCell="M18" sqref="M18"/>
    </sheetView>
  </sheetViews>
  <sheetFormatPr baseColWidth="10" defaultRowHeight="12.75" x14ac:dyDescent="0.2"/>
  <cols>
    <col min="1" max="1" width="5" customWidth="1"/>
    <col min="2" max="2" width="7.42578125" customWidth="1"/>
    <col min="3" max="3" width="6.85546875" customWidth="1"/>
    <col min="4" max="4" width="9.140625" customWidth="1"/>
    <col min="5" max="5" width="11.7109375" customWidth="1"/>
    <col min="6" max="9" width="8.28515625" customWidth="1"/>
    <col min="10" max="10" width="4.5703125" customWidth="1"/>
    <col min="11" max="11" width="8.28515625" customWidth="1"/>
    <col min="12" max="12" width="12" customWidth="1"/>
    <col min="13" max="13" width="10.85546875" customWidth="1"/>
  </cols>
  <sheetData>
    <row r="1" spans="1:13" x14ac:dyDescent="0.2">
      <c r="A1" s="155" t="s">
        <v>0</v>
      </c>
      <c r="B1" s="155"/>
      <c r="C1" s="155"/>
      <c r="D1" s="155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56" t="s">
        <v>8</v>
      </c>
      <c r="B2" s="156"/>
      <c r="C2" s="156"/>
      <c r="D2" s="156"/>
      <c r="E2" s="2"/>
      <c r="F2" s="2"/>
      <c r="G2" s="2"/>
      <c r="H2" s="2"/>
      <c r="I2" s="2"/>
      <c r="J2" s="2"/>
      <c r="K2" s="2"/>
      <c r="L2" s="21"/>
      <c r="M2" s="21"/>
    </row>
    <row r="3" spans="1:13" ht="15.75" x14ac:dyDescent="0.25">
      <c r="A3" s="156" t="s">
        <v>7</v>
      </c>
      <c r="B3" s="156"/>
      <c r="C3" s="156"/>
      <c r="D3" s="156"/>
      <c r="E3" s="2"/>
      <c r="F3" s="2"/>
      <c r="G3" s="2"/>
      <c r="H3" s="21"/>
      <c r="I3" s="21"/>
      <c r="J3" s="21"/>
      <c r="K3" s="37"/>
      <c r="L3" s="37"/>
      <c r="M3" s="21"/>
    </row>
    <row r="4" spans="1:13" ht="13.5" customHeight="1" x14ac:dyDescent="0.3">
      <c r="A4" s="155"/>
      <c r="B4" s="155"/>
      <c r="C4" s="155"/>
      <c r="D4" s="155"/>
      <c r="E4" s="2"/>
      <c r="F4" s="6"/>
      <c r="G4" s="6"/>
      <c r="H4" s="6"/>
      <c r="I4" s="6"/>
      <c r="J4" s="6"/>
      <c r="K4" s="6"/>
      <c r="L4" s="7"/>
      <c r="M4" s="7"/>
    </row>
    <row r="5" spans="1:13" ht="18" x14ac:dyDescent="0.25">
      <c r="B5" s="157" t="s">
        <v>10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34"/>
    </row>
    <row r="6" spans="1:13" ht="13.5" thickBo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B7" s="2"/>
      <c r="C7" s="2"/>
      <c r="D7" s="2"/>
      <c r="E7" s="2"/>
      <c r="F7" s="2"/>
      <c r="G7" s="2"/>
      <c r="H7" s="46" t="s">
        <v>11</v>
      </c>
      <c r="I7" s="48"/>
      <c r="J7" s="47"/>
      <c r="K7" s="53" t="s">
        <v>149</v>
      </c>
      <c r="L7" s="48"/>
      <c r="M7" s="2"/>
    </row>
    <row r="8" spans="1:13" ht="12.75" customHeight="1" thickBot="1" x14ac:dyDescent="0.25">
      <c r="B8" s="2"/>
      <c r="C8" s="2"/>
      <c r="D8" s="2"/>
      <c r="E8" s="2"/>
      <c r="F8" s="2"/>
      <c r="G8" s="2"/>
      <c r="H8" s="49"/>
      <c r="I8" s="51"/>
      <c r="J8" s="50"/>
      <c r="K8" s="50"/>
      <c r="L8" s="51"/>
      <c r="M8" s="2"/>
    </row>
    <row r="9" spans="1:13" x14ac:dyDescent="0.2">
      <c r="B9" s="5" t="s">
        <v>151</v>
      </c>
      <c r="C9" s="2"/>
      <c r="D9" s="2"/>
      <c r="E9" s="2"/>
      <c r="F9" s="2"/>
      <c r="G9" s="5"/>
      <c r="H9" s="5"/>
      <c r="I9" s="5"/>
      <c r="J9" s="5"/>
      <c r="K9" s="5"/>
      <c r="L9" s="5"/>
      <c r="M9" s="2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x14ac:dyDescent="0.3">
      <c r="B11" s="21" t="s">
        <v>18</v>
      </c>
      <c r="C11" s="6"/>
      <c r="D11" s="21"/>
      <c r="E11" s="6"/>
      <c r="F11" s="6"/>
      <c r="G11" s="21"/>
      <c r="H11" s="6"/>
      <c r="I11" s="6"/>
      <c r="J11" s="6"/>
      <c r="K11" s="6"/>
      <c r="L11" s="6"/>
      <c r="M11" s="6"/>
    </row>
    <row r="12" spans="1:13" ht="15" x14ac:dyDescent="0.3">
      <c r="B12" s="21"/>
      <c r="C12" s="6"/>
      <c r="D12" s="6"/>
      <c r="E12" s="6"/>
      <c r="F12" s="6"/>
      <c r="G12" s="21"/>
      <c r="H12" s="6"/>
      <c r="I12" s="6"/>
      <c r="J12" s="6"/>
      <c r="K12" s="6"/>
      <c r="L12" s="6"/>
      <c r="M12" s="6"/>
    </row>
    <row r="13" spans="1:13" ht="15" x14ac:dyDescent="0.3">
      <c r="B13" s="20" t="s">
        <v>9</v>
      </c>
      <c r="C13" s="21"/>
      <c r="D13" s="6" t="s">
        <v>83</v>
      </c>
      <c r="E13" s="9"/>
      <c r="F13" s="6"/>
      <c r="G13" s="6"/>
      <c r="H13" s="6"/>
      <c r="I13" s="6"/>
      <c r="J13" s="6"/>
      <c r="K13" s="6"/>
      <c r="L13" s="6"/>
      <c r="M13" s="6"/>
    </row>
    <row r="14" spans="1:13" ht="15" x14ac:dyDescent="0.3">
      <c r="B14" s="20"/>
      <c r="C14" s="6"/>
      <c r="D14" s="6"/>
      <c r="E14" s="9"/>
      <c r="F14" s="6"/>
      <c r="G14" s="6"/>
      <c r="H14" s="6"/>
      <c r="I14" s="6"/>
      <c r="J14" s="6"/>
      <c r="K14" s="6"/>
      <c r="L14" s="6"/>
      <c r="M14" s="6"/>
    </row>
    <row r="15" spans="1:13" ht="15" x14ac:dyDescent="0.3">
      <c r="B15" s="20" t="s">
        <v>33</v>
      </c>
      <c r="C15" s="6"/>
      <c r="D15" s="6" t="s">
        <v>84</v>
      </c>
      <c r="E15" s="9"/>
      <c r="F15" s="21"/>
      <c r="G15" s="21"/>
      <c r="H15" s="21"/>
      <c r="I15" s="21"/>
      <c r="J15" s="21"/>
      <c r="K15" s="21"/>
      <c r="L15" s="7"/>
      <c r="M15" s="7"/>
    </row>
    <row r="16" spans="1:13" ht="15" x14ac:dyDescent="0.3">
      <c r="B16" s="20"/>
      <c r="C16" s="6"/>
      <c r="D16" s="6"/>
      <c r="E16" s="9"/>
      <c r="F16" s="21"/>
      <c r="G16" s="21"/>
      <c r="H16" s="21"/>
      <c r="I16" s="21"/>
      <c r="J16" s="21"/>
      <c r="K16" s="21"/>
      <c r="L16" s="7"/>
      <c r="M16" s="7"/>
    </row>
    <row r="17" spans="2:19" ht="15" x14ac:dyDescent="0.3">
      <c r="B17" s="21" t="s">
        <v>12</v>
      </c>
      <c r="C17" s="6"/>
      <c r="D17" s="6"/>
      <c r="E17" s="6"/>
      <c r="F17" s="6"/>
      <c r="G17" s="6"/>
      <c r="H17" s="6"/>
      <c r="I17" s="6"/>
      <c r="J17" s="6"/>
      <c r="K17" s="10"/>
      <c r="L17" s="10"/>
      <c r="M17" s="6"/>
    </row>
    <row r="18" spans="2:19" ht="15" x14ac:dyDescent="0.3">
      <c r="B18" s="40"/>
      <c r="C18" s="10"/>
      <c r="D18" s="10"/>
      <c r="E18" s="41"/>
      <c r="F18" s="10"/>
      <c r="G18" s="10"/>
      <c r="H18" s="10"/>
      <c r="I18" s="10"/>
      <c r="J18" s="10"/>
      <c r="K18" s="10"/>
      <c r="L18" s="10"/>
      <c r="M18" s="6"/>
    </row>
    <row r="19" spans="2:19" ht="15" x14ac:dyDescent="0.3">
      <c r="B19" s="11"/>
      <c r="C19" s="11"/>
      <c r="D19" s="11"/>
      <c r="E19" s="6" t="s">
        <v>1</v>
      </c>
      <c r="F19" s="11"/>
      <c r="G19" s="11"/>
      <c r="H19" s="11"/>
      <c r="I19" s="11"/>
      <c r="J19" s="11"/>
      <c r="K19" s="11"/>
      <c r="L19" s="11" t="s">
        <v>1</v>
      </c>
      <c r="M19" s="11"/>
    </row>
    <row r="20" spans="2:19" ht="15.75" x14ac:dyDescent="0.25">
      <c r="B20" s="31" t="s">
        <v>19</v>
      </c>
      <c r="C20" s="32" t="s">
        <v>5</v>
      </c>
      <c r="D20" s="32" t="s">
        <v>20</v>
      </c>
      <c r="E20" s="149" t="s">
        <v>2</v>
      </c>
      <c r="F20" s="150"/>
      <c r="G20" s="150"/>
      <c r="H20" s="150"/>
      <c r="I20" s="150"/>
      <c r="J20" s="150"/>
      <c r="K20" s="150"/>
      <c r="L20" s="151"/>
      <c r="M20" s="35"/>
    </row>
    <row r="21" spans="2:19" ht="15" customHeight="1" x14ac:dyDescent="0.2">
      <c r="B21" s="22">
        <v>1</v>
      </c>
      <c r="C21" s="76"/>
      <c r="D21" s="75">
        <v>24000</v>
      </c>
      <c r="E21" s="33" t="s">
        <v>150</v>
      </c>
      <c r="F21" s="25"/>
      <c r="G21" s="25"/>
      <c r="H21" s="25"/>
      <c r="I21" s="25"/>
      <c r="J21" s="25"/>
      <c r="K21" s="25"/>
      <c r="L21" s="17"/>
      <c r="M21" s="3"/>
    </row>
    <row r="22" spans="2:19" ht="15" customHeight="1" x14ac:dyDescent="0.3">
      <c r="B22" s="22">
        <f>+B21+1</f>
        <v>2</v>
      </c>
      <c r="C22" s="27"/>
      <c r="D22" s="19"/>
      <c r="E22" s="33" t="s">
        <v>91</v>
      </c>
      <c r="F22" s="29"/>
      <c r="G22" s="29"/>
      <c r="H22" s="29"/>
      <c r="I22" s="29"/>
      <c r="J22" s="29"/>
      <c r="K22" s="29"/>
      <c r="L22" s="17"/>
      <c r="M22" s="3"/>
      <c r="O22" s="30"/>
      <c r="P22" s="1"/>
      <c r="Q22" s="6"/>
      <c r="S22" s="3"/>
    </row>
    <row r="23" spans="2:19" ht="15" customHeight="1" x14ac:dyDescent="0.3">
      <c r="B23" s="22">
        <f t="shared" ref="B23:B30" si="0">+B22+1</f>
        <v>3</v>
      </c>
      <c r="C23" s="27"/>
      <c r="D23" s="19"/>
      <c r="E23" s="73" t="s">
        <v>89</v>
      </c>
      <c r="F23" s="77"/>
      <c r="G23" s="77"/>
      <c r="H23" s="77"/>
      <c r="I23" s="77"/>
      <c r="J23" s="77"/>
      <c r="K23" s="77"/>
      <c r="L23" s="23"/>
      <c r="M23" s="3"/>
      <c r="O23" s="30"/>
      <c r="P23" s="1"/>
      <c r="Q23" s="6"/>
      <c r="S23" s="3"/>
    </row>
    <row r="24" spans="2:19" ht="15" customHeight="1" x14ac:dyDescent="0.3">
      <c r="B24" s="22">
        <f t="shared" si="0"/>
        <v>4</v>
      </c>
      <c r="C24" s="27"/>
      <c r="D24" s="19"/>
      <c r="E24" s="24"/>
      <c r="F24" s="25"/>
      <c r="G24" s="25"/>
      <c r="H24" s="25"/>
      <c r="I24" s="25"/>
      <c r="J24" s="25"/>
      <c r="K24" s="25"/>
      <c r="L24" s="17"/>
      <c r="M24" s="3"/>
    </row>
    <row r="25" spans="2:19" ht="15" customHeight="1" x14ac:dyDescent="0.3">
      <c r="B25" s="22">
        <f t="shared" si="0"/>
        <v>5</v>
      </c>
      <c r="C25" s="26"/>
      <c r="D25" s="19"/>
      <c r="E25" s="16"/>
      <c r="F25" s="40"/>
      <c r="G25" s="40"/>
      <c r="H25" s="40"/>
      <c r="I25" s="40"/>
      <c r="J25" s="40"/>
      <c r="K25" s="40"/>
      <c r="L25" s="23"/>
      <c r="M25" s="3"/>
    </row>
    <row r="26" spans="2:19" ht="15" customHeight="1" x14ac:dyDescent="0.2">
      <c r="B26" s="22">
        <f t="shared" si="0"/>
        <v>6</v>
      </c>
      <c r="C26" s="26"/>
      <c r="D26" s="19"/>
      <c r="E26" s="38"/>
      <c r="F26" s="29"/>
      <c r="G26" s="29"/>
      <c r="H26" s="29"/>
      <c r="I26" s="29"/>
      <c r="J26" s="29"/>
      <c r="K26" s="29"/>
      <c r="L26" s="17"/>
      <c r="M26" s="3"/>
    </row>
    <row r="27" spans="2:19" ht="15" customHeight="1" x14ac:dyDescent="0.3">
      <c r="B27" s="22">
        <f t="shared" si="0"/>
        <v>7</v>
      </c>
      <c r="C27" s="12"/>
      <c r="D27" s="13"/>
      <c r="E27" s="24"/>
      <c r="F27" s="25"/>
      <c r="G27" s="25"/>
      <c r="H27" s="25"/>
      <c r="I27" s="25"/>
      <c r="J27" s="25"/>
      <c r="K27" s="25"/>
      <c r="L27" s="17"/>
      <c r="M27" s="3"/>
    </row>
    <row r="28" spans="2:19" ht="15" customHeight="1" x14ac:dyDescent="0.3">
      <c r="B28" s="22">
        <f t="shared" si="0"/>
        <v>8</v>
      </c>
      <c r="C28" s="15"/>
      <c r="D28" s="13"/>
      <c r="E28" s="16"/>
      <c r="F28" s="40"/>
      <c r="G28" s="40"/>
      <c r="H28" s="40"/>
      <c r="I28" s="40"/>
      <c r="J28" s="40"/>
      <c r="K28" s="40"/>
      <c r="L28" s="23"/>
      <c r="M28" s="3"/>
    </row>
    <row r="29" spans="2:19" ht="15" customHeight="1" x14ac:dyDescent="0.3">
      <c r="B29" s="22">
        <f t="shared" si="0"/>
        <v>9</v>
      </c>
      <c r="C29" s="15"/>
      <c r="D29" s="13"/>
      <c r="E29" s="24"/>
      <c r="F29" s="25"/>
      <c r="G29" s="25"/>
      <c r="H29" s="25"/>
      <c r="I29" s="25"/>
      <c r="J29" s="25"/>
      <c r="K29" s="25"/>
      <c r="L29" s="17"/>
      <c r="M29" s="3"/>
    </row>
    <row r="30" spans="2:19" ht="15" customHeight="1" x14ac:dyDescent="0.3">
      <c r="B30" s="22">
        <f t="shared" si="0"/>
        <v>10</v>
      </c>
      <c r="C30" s="12"/>
      <c r="D30" s="13"/>
      <c r="E30" s="24"/>
      <c r="F30" s="25"/>
      <c r="G30" s="25"/>
      <c r="H30" s="25"/>
      <c r="I30" s="25"/>
      <c r="J30" s="25"/>
      <c r="K30" s="25"/>
      <c r="L30" s="17"/>
      <c r="M30" s="3"/>
    </row>
    <row r="31" spans="2:19" ht="15" x14ac:dyDescent="0.3">
      <c r="B31" s="2"/>
      <c r="C31" s="2"/>
      <c r="D31" s="2"/>
      <c r="E31" s="6"/>
      <c r="F31" s="3"/>
      <c r="G31" s="3"/>
      <c r="H31" s="3"/>
      <c r="I31" s="3"/>
      <c r="J31" s="3"/>
      <c r="K31" s="3"/>
      <c r="L31" s="3"/>
      <c r="M31" s="3"/>
    </row>
    <row r="32" spans="2:19" ht="15.75" thickBot="1" x14ac:dyDescent="0.35">
      <c r="B32" s="5" t="s">
        <v>13</v>
      </c>
      <c r="C32" s="2"/>
      <c r="D32" s="36"/>
      <c r="E32" s="6"/>
      <c r="F32" s="3"/>
      <c r="G32" s="3"/>
      <c r="H32" s="3"/>
      <c r="I32" s="3"/>
      <c r="J32" s="3"/>
      <c r="K32" s="3"/>
      <c r="L32" s="3"/>
      <c r="M32" s="3"/>
    </row>
    <row r="33" spans="2:13" ht="15.75" thickBot="1" x14ac:dyDescent="0.35">
      <c r="B33" s="42" t="s">
        <v>14</v>
      </c>
      <c r="C33" s="43"/>
      <c r="D33" s="152">
        <v>311401</v>
      </c>
      <c r="E33" s="153"/>
      <c r="F33" s="6"/>
      <c r="G33" s="6"/>
      <c r="H33" s="6"/>
      <c r="I33" s="10"/>
      <c r="J33" s="10"/>
      <c r="K33" s="10"/>
      <c r="L33" s="39"/>
      <c r="M33" s="18"/>
    </row>
    <row r="34" spans="2:13" ht="15" x14ac:dyDescent="0.3">
      <c r="B34" s="2"/>
      <c r="C34" s="2"/>
      <c r="D34" s="36"/>
      <c r="E34" s="2"/>
      <c r="F34" s="6"/>
      <c r="G34" s="6"/>
      <c r="H34" s="6"/>
      <c r="I34" s="154" t="s">
        <v>16</v>
      </c>
      <c r="J34" s="154"/>
      <c r="K34" s="154"/>
      <c r="L34" s="154"/>
      <c r="M34" s="2"/>
    </row>
    <row r="35" spans="2:13" ht="15" x14ac:dyDescent="0.3">
      <c r="B35" s="2"/>
      <c r="C35" s="2"/>
      <c r="D35" s="36"/>
      <c r="E35" s="2"/>
      <c r="F35" s="6"/>
      <c r="G35" s="6"/>
      <c r="H35" s="6"/>
      <c r="I35" s="54"/>
      <c r="J35" s="54"/>
      <c r="K35" s="54"/>
      <c r="L35" s="54"/>
      <c r="M35" s="2"/>
    </row>
    <row r="36" spans="2:13" ht="15" x14ac:dyDescent="0.3">
      <c r="B36" s="2"/>
      <c r="C36" s="2"/>
      <c r="D36" s="36"/>
      <c r="E36" s="2"/>
      <c r="F36" s="6"/>
      <c r="G36" s="6"/>
      <c r="H36" s="6"/>
      <c r="I36" s="54"/>
      <c r="J36" s="54"/>
      <c r="K36" s="54"/>
      <c r="L36" s="54"/>
      <c r="M36" s="2"/>
    </row>
    <row r="37" spans="2:13" x14ac:dyDescent="0.2">
      <c r="B37" s="2"/>
      <c r="C37" s="2"/>
      <c r="D37" s="36"/>
      <c r="E37" s="2"/>
      <c r="F37" s="2"/>
      <c r="G37" s="2"/>
      <c r="H37" s="2"/>
      <c r="I37" s="2"/>
      <c r="J37" s="2"/>
      <c r="K37" s="2"/>
      <c r="L37" s="4"/>
      <c r="M37" s="4"/>
    </row>
    <row r="38" spans="2:13" x14ac:dyDescent="0.2">
      <c r="B38" s="2"/>
      <c r="C38" s="2"/>
      <c r="D38" s="36"/>
      <c r="E38" s="2"/>
      <c r="F38" s="2"/>
      <c r="G38" s="7"/>
      <c r="H38" s="7"/>
      <c r="I38" s="148" t="s">
        <v>17</v>
      </c>
      <c r="J38" s="148"/>
      <c r="K38" s="148"/>
      <c r="L38" s="148"/>
      <c r="M38" s="4"/>
    </row>
    <row r="39" spans="2:13" x14ac:dyDescent="0.2">
      <c r="B39" s="2"/>
      <c r="C39" s="2"/>
      <c r="D39" s="36"/>
      <c r="E39" s="2"/>
      <c r="F39" s="2"/>
      <c r="G39" s="7"/>
      <c r="H39" s="7"/>
      <c r="I39" s="52"/>
      <c r="J39" s="52"/>
      <c r="K39" s="52"/>
      <c r="L39" s="52"/>
      <c r="M39" s="4"/>
    </row>
    <row r="40" spans="2:13" x14ac:dyDescent="0.2">
      <c r="B40" s="2"/>
      <c r="C40" s="2"/>
      <c r="D40" s="36"/>
      <c r="E40" s="2"/>
      <c r="F40" s="2"/>
      <c r="G40" s="7"/>
      <c r="H40" s="7"/>
      <c r="I40" s="52"/>
      <c r="J40" s="52"/>
      <c r="K40" s="52"/>
      <c r="L40" s="52"/>
      <c r="M40" s="4"/>
    </row>
    <row r="41" spans="2:13" x14ac:dyDescent="0.2">
      <c r="B41" s="2"/>
      <c r="C41" s="2"/>
      <c r="D41" s="2"/>
      <c r="E41" s="7"/>
      <c r="F41" s="7"/>
      <c r="G41" s="7"/>
      <c r="H41" s="7"/>
      <c r="I41" s="148"/>
      <c r="J41" s="148"/>
      <c r="K41" s="148"/>
      <c r="L41" s="148"/>
      <c r="M41" s="4"/>
    </row>
    <row r="42" spans="2:13" ht="13.5" thickBot="1" x14ac:dyDescent="0.25">
      <c r="B42" s="2"/>
      <c r="C42" s="147"/>
      <c r="D42" s="147"/>
      <c r="E42" s="147"/>
      <c r="F42" s="147"/>
      <c r="G42" s="7"/>
      <c r="H42" s="7"/>
      <c r="I42" s="56"/>
      <c r="J42" s="56"/>
      <c r="K42" s="56"/>
      <c r="L42" s="57"/>
      <c r="M42" s="4"/>
    </row>
    <row r="43" spans="2:13" x14ac:dyDescent="0.2">
      <c r="B43" s="2"/>
      <c r="C43" s="148" t="s">
        <v>85</v>
      </c>
      <c r="D43" s="148"/>
      <c r="E43" s="148"/>
      <c r="F43" s="148"/>
      <c r="G43" s="7"/>
      <c r="H43" s="7"/>
      <c r="I43" s="148" t="s">
        <v>86</v>
      </c>
      <c r="J43" s="148"/>
      <c r="K43" s="148"/>
      <c r="L43" s="148"/>
      <c r="M43" s="4"/>
    </row>
    <row r="44" spans="2:13" x14ac:dyDescent="0.2">
      <c r="B44" s="2"/>
      <c r="C44" s="148" t="s">
        <v>6</v>
      </c>
      <c r="D44" s="148"/>
      <c r="E44" s="148"/>
      <c r="F44" s="148"/>
      <c r="G44" s="2"/>
      <c r="H44" s="2"/>
      <c r="I44" s="148" t="s">
        <v>87</v>
      </c>
      <c r="J44" s="148"/>
      <c r="K44" s="148"/>
      <c r="L44" s="148"/>
      <c r="M44" s="4"/>
    </row>
    <row r="45" spans="2:13" x14ac:dyDescent="0.2">
      <c r="B45" s="2"/>
      <c r="C45" s="148" t="s">
        <v>21</v>
      </c>
      <c r="D45" s="148"/>
      <c r="E45" s="148"/>
      <c r="F45" s="148"/>
      <c r="G45" s="7"/>
      <c r="H45" s="7"/>
      <c r="I45" s="148" t="s">
        <v>15</v>
      </c>
      <c r="J45" s="148"/>
      <c r="K45" s="148"/>
      <c r="L45" s="148"/>
      <c r="M45" s="4"/>
    </row>
    <row r="46" spans="2:13" x14ac:dyDescent="0.2">
      <c r="B46" s="2"/>
      <c r="C46" s="148"/>
      <c r="D46" s="148"/>
      <c r="E46" s="148"/>
      <c r="F46" s="148"/>
      <c r="G46" s="7"/>
      <c r="H46" s="7"/>
      <c r="I46" s="148"/>
      <c r="J46" s="148"/>
      <c r="K46" s="148"/>
      <c r="L46" s="148"/>
      <c r="M46" s="4"/>
    </row>
    <row r="47" spans="2:13" x14ac:dyDescent="0.2">
      <c r="B47" s="2"/>
      <c r="C47" s="148"/>
      <c r="D47" s="148"/>
      <c r="E47" s="148"/>
      <c r="F47" s="148"/>
      <c r="G47" s="7"/>
      <c r="H47" s="7"/>
      <c r="I47" s="148"/>
      <c r="J47" s="148"/>
      <c r="K47" s="148"/>
      <c r="L47" s="148"/>
      <c r="M47" s="4"/>
    </row>
    <row r="48" spans="2:13" x14ac:dyDescent="0.2">
      <c r="B48" s="44" t="s">
        <v>3</v>
      </c>
      <c r="C48" s="45"/>
      <c r="D48" s="45"/>
      <c r="E48" s="45"/>
      <c r="F48" s="45"/>
      <c r="G48" s="45"/>
      <c r="L48" s="2"/>
      <c r="M48" s="2"/>
    </row>
    <row r="49" spans="2:13" x14ac:dyDescent="0.2">
      <c r="B49" s="44" t="s">
        <v>4</v>
      </c>
      <c r="C49" s="45"/>
      <c r="D49" s="45"/>
      <c r="E49" s="45"/>
      <c r="F49" s="45"/>
      <c r="G49" s="45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8" t="s">
        <v>1</v>
      </c>
      <c r="G51" s="8"/>
      <c r="H51" s="8"/>
      <c r="I51" s="8"/>
      <c r="J51" s="8"/>
      <c r="K51" s="8"/>
      <c r="L51" s="2"/>
      <c r="M51" s="2"/>
    </row>
  </sheetData>
  <mergeCells count="21">
    <mergeCell ref="C47:F47"/>
    <mergeCell ref="I47:L47"/>
    <mergeCell ref="C44:F44"/>
    <mergeCell ref="I44:L44"/>
    <mergeCell ref="C45:F45"/>
    <mergeCell ref="I45:L45"/>
    <mergeCell ref="C46:F46"/>
    <mergeCell ref="I46:L46"/>
    <mergeCell ref="C43:F43"/>
    <mergeCell ref="I43:L43"/>
    <mergeCell ref="A1:D1"/>
    <mergeCell ref="A2:D2"/>
    <mergeCell ref="A3:D3"/>
    <mergeCell ref="A4:D4"/>
    <mergeCell ref="B5:L5"/>
    <mergeCell ref="E20:L20"/>
    <mergeCell ref="D33:E33"/>
    <mergeCell ref="I34:L34"/>
    <mergeCell ref="I38:L38"/>
    <mergeCell ref="I41:L41"/>
    <mergeCell ref="C42:F42"/>
  </mergeCells>
  <pageMargins left="0.39370078740157483" right="0.19685039370078741" top="0.51181102362204722" bottom="0.59055118110236227" header="0" footer="0"/>
  <pageSetup scale="88"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0"/>
  <dimension ref="A1:S51"/>
  <sheetViews>
    <sheetView workbookViewId="0">
      <selection activeCell="N15" sqref="N15"/>
    </sheetView>
  </sheetViews>
  <sheetFormatPr baseColWidth="10" defaultRowHeight="12.75" x14ac:dyDescent="0.2"/>
  <cols>
    <col min="1" max="1" width="5" customWidth="1"/>
    <col min="2" max="2" width="7.42578125" customWidth="1"/>
    <col min="3" max="3" width="6.85546875" customWidth="1"/>
    <col min="4" max="4" width="9.140625" customWidth="1"/>
    <col min="5" max="5" width="11.7109375" customWidth="1"/>
    <col min="6" max="9" width="8.28515625" customWidth="1"/>
    <col min="10" max="10" width="4.5703125" customWidth="1"/>
    <col min="11" max="11" width="8.28515625" customWidth="1"/>
    <col min="12" max="12" width="12.5703125" customWidth="1"/>
    <col min="13" max="13" width="10.85546875" customWidth="1"/>
  </cols>
  <sheetData>
    <row r="1" spans="1:13" x14ac:dyDescent="0.2">
      <c r="A1" s="155" t="s">
        <v>0</v>
      </c>
      <c r="B1" s="155"/>
      <c r="C1" s="155"/>
      <c r="D1" s="155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56" t="s">
        <v>8</v>
      </c>
      <c r="B2" s="156"/>
      <c r="C2" s="156"/>
      <c r="D2" s="156"/>
      <c r="E2" s="2"/>
      <c r="F2" s="2"/>
      <c r="G2" s="2"/>
      <c r="H2" s="2"/>
      <c r="I2" s="2"/>
      <c r="J2" s="2"/>
      <c r="K2" s="2"/>
      <c r="L2" s="21"/>
      <c r="M2" s="21"/>
    </row>
    <row r="3" spans="1:13" ht="15.75" x14ac:dyDescent="0.25">
      <c r="A3" s="156" t="s">
        <v>7</v>
      </c>
      <c r="B3" s="156"/>
      <c r="C3" s="156"/>
      <c r="D3" s="156"/>
      <c r="E3" s="2"/>
      <c r="F3" s="2"/>
      <c r="G3" s="2"/>
      <c r="H3" s="21"/>
      <c r="I3" s="21"/>
      <c r="J3" s="21"/>
      <c r="K3" s="37"/>
      <c r="L3" s="37"/>
      <c r="M3" s="21"/>
    </row>
    <row r="4" spans="1:13" ht="13.5" customHeight="1" x14ac:dyDescent="0.3">
      <c r="A4" s="155"/>
      <c r="B4" s="155"/>
      <c r="C4" s="155"/>
      <c r="D4" s="155"/>
      <c r="E4" s="2"/>
      <c r="F4" s="6"/>
      <c r="G4" s="6"/>
      <c r="H4" s="6"/>
      <c r="I4" s="6"/>
      <c r="J4" s="6"/>
      <c r="K4" s="6"/>
      <c r="L4" s="7"/>
      <c r="M4" s="7"/>
    </row>
    <row r="5" spans="1:13" ht="18" x14ac:dyDescent="0.25">
      <c r="B5" s="157" t="s">
        <v>10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34"/>
    </row>
    <row r="6" spans="1:13" ht="13.5" thickBo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B7" s="2"/>
      <c r="C7" s="2"/>
      <c r="D7" s="2"/>
      <c r="E7" s="2"/>
      <c r="F7" s="2"/>
      <c r="G7" s="2"/>
      <c r="H7" s="46" t="s">
        <v>11</v>
      </c>
      <c r="I7" s="48"/>
      <c r="J7" s="47"/>
      <c r="K7" s="53" t="s">
        <v>142</v>
      </c>
      <c r="L7" s="48"/>
      <c r="M7" s="2"/>
    </row>
    <row r="8" spans="1:13" ht="12.75" customHeight="1" thickBot="1" x14ac:dyDescent="0.25">
      <c r="B8" s="2"/>
      <c r="C8" s="2"/>
      <c r="D8" s="2"/>
      <c r="E8" s="2"/>
      <c r="F8" s="2"/>
      <c r="G8" s="2"/>
      <c r="H8" s="49"/>
      <c r="I8" s="51"/>
      <c r="J8" s="50"/>
      <c r="K8" s="50"/>
      <c r="L8" s="51"/>
      <c r="M8" s="2"/>
    </row>
    <row r="9" spans="1:13" x14ac:dyDescent="0.2">
      <c r="B9" s="5" t="s">
        <v>144</v>
      </c>
      <c r="C9" s="2"/>
      <c r="D9" s="2"/>
      <c r="E9" s="2"/>
      <c r="F9" s="2"/>
      <c r="G9" s="5"/>
      <c r="H9" s="5"/>
      <c r="I9" s="5"/>
      <c r="J9" s="5"/>
      <c r="K9" s="5"/>
      <c r="L9" s="5"/>
      <c r="M9" s="2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x14ac:dyDescent="0.3">
      <c r="B11" s="21" t="s">
        <v>18</v>
      </c>
      <c r="C11" s="6"/>
      <c r="D11" s="21"/>
      <c r="E11" s="6"/>
      <c r="F11" s="6"/>
      <c r="G11" s="21"/>
      <c r="H11" s="6"/>
      <c r="I11" s="6"/>
      <c r="J11" s="6"/>
      <c r="K11" s="6"/>
      <c r="L11" s="6"/>
      <c r="M11" s="6"/>
    </row>
    <row r="12" spans="1:13" ht="15" x14ac:dyDescent="0.3">
      <c r="B12" s="21"/>
      <c r="C12" s="6"/>
      <c r="D12" s="6"/>
      <c r="E12" s="6"/>
      <c r="F12" s="6"/>
      <c r="G12" s="21"/>
      <c r="H12" s="6"/>
      <c r="I12" s="6"/>
      <c r="J12" s="6"/>
      <c r="K12" s="6"/>
      <c r="L12" s="6"/>
      <c r="M12" s="6"/>
    </row>
    <row r="13" spans="1:13" ht="15" x14ac:dyDescent="0.3">
      <c r="B13" s="20" t="s">
        <v>9</v>
      </c>
      <c r="C13" s="21"/>
      <c r="D13" s="6" t="s">
        <v>83</v>
      </c>
      <c r="E13" s="9"/>
      <c r="F13" s="6"/>
      <c r="G13" s="6"/>
      <c r="H13" s="6"/>
      <c r="I13" s="6"/>
      <c r="J13" s="6"/>
      <c r="K13" s="6"/>
      <c r="L13" s="6"/>
      <c r="M13" s="6"/>
    </row>
    <row r="14" spans="1:13" ht="15" x14ac:dyDescent="0.3">
      <c r="B14" s="20"/>
      <c r="C14" s="6"/>
      <c r="D14" s="6"/>
      <c r="E14" s="9"/>
      <c r="F14" s="6"/>
      <c r="G14" s="6"/>
      <c r="H14" s="6"/>
      <c r="I14" s="6"/>
      <c r="J14" s="6"/>
      <c r="K14" s="6"/>
      <c r="L14" s="6"/>
      <c r="M14" s="6"/>
    </row>
    <row r="15" spans="1:13" ht="15" x14ac:dyDescent="0.3">
      <c r="B15" s="20" t="s">
        <v>33</v>
      </c>
      <c r="C15" s="6"/>
      <c r="D15" s="6" t="s">
        <v>84</v>
      </c>
      <c r="E15" s="9"/>
      <c r="F15" s="21"/>
      <c r="G15" s="21"/>
      <c r="H15" s="21"/>
      <c r="I15" s="21"/>
      <c r="J15" s="21"/>
      <c r="K15" s="21"/>
      <c r="L15" s="7"/>
      <c r="M15" s="7"/>
    </row>
    <row r="16" spans="1:13" ht="15" x14ac:dyDescent="0.3">
      <c r="B16" s="20"/>
      <c r="C16" s="6"/>
      <c r="D16" s="6"/>
      <c r="E16" s="9"/>
      <c r="F16" s="21"/>
      <c r="G16" s="21"/>
      <c r="H16" s="21"/>
      <c r="I16" s="21"/>
      <c r="J16" s="21"/>
      <c r="K16" s="21"/>
      <c r="L16" s="7"/>
      <c r="M16" s="7"/>
    </row>
    <row r="17" spans="2:19" ht="15" x14ac:dyDescent="0.3">
      <c r="B17" s="21" t="s">
        <v>12</v>
      </c>
      <c r="C17" s="6"/>
      <c r="D17" s="6"/>
      <c r="E17" s="6"/>
      <c r="F17" s="6"/>
      <c r="G17" s="6"/>
      <c r="H17" s="6"/>
      <c r="I17" s="6"/>
      <c r="J17" s="6"/>
      <c r="K17" s="10"/>
      <c r="L17" s="10"/>
      <c r="M17" s="6"/>
    </row>
    <row r="18" spans="2:19" ht="15" x14ac:dyDescent="0.3">
      <c r="B18" s="40"/>
      <c r="C18" s="10"/>
      <c r="D18" s="10"/>
      <c r="E18" s="41"/>
      <c r="F18" s="10"/>
      <c r="G18" s="10"/>
      <c r="H18" s="10"/>
      <c r="I18" s="10"/>
      <c r="J18" s="10"/>
      <c r="K18" s="10"/>
      <c r="L18" s="10"/>
      <c r="M18" s="6"/>
    </row>
    <row r="19" spans="2:19" ht="15" x14ac:dyDescent="0.3">
      <c r="B19" s="11"/>
      <c r="C19" s="11"/>
      <c r="D19" s="11"/>
      <c r="E19" s="6" t="s">
        <v>1</v>
      </c>
      <c r="F19" s="11"/>
      <c r="G19" s="11"/>
      <c r="H19" s="11"/>
      <c r="I19" s="11"/>
      <c r="J19" s="11"/>
      <c r="K19" s="11"/>
      <c r="L19" s="11" t="s">
        <v>1</v>
      </c>
      <c r="M19" s="11"/>
    </row>
    <row r="20" spans="2:19" ht="15.75" x14ac:dyDescent="0.25">
      <c r="B20" s="31" t="s">
        <v>19</v>
      </c>
      <c r="C20" s="32" t="s">
        <v>5</v>
      </c>
      <c r="D20" s="32" t="s">
        <v>20</v>
      </c>
      <c r="E20" s="149" t="s">
        <v>2</v>
      </c>
      <c r="F20" s="150"/>
      <c r="G20" s="150"/>
      <c r="H20" s="150"/>
      <c r="I20" s="150"/>
      <c r="J20" s="150"/>
      <c r="K20" s="150"/>
      <c r="L20" s="151"/>
      <c r="M20" s="35"/>
    </row>
    <row r="21" spans="2:19" ht="15" customHeight="1" x14ac:dyDescent="0.2">
      <c r="B21" s="22">
        <v>1</v>
      </c>
      <c r="C21" s="81">
        <v>300</v>
      </c>
      <c r="D21" s="75" t="s">
        <v>54</v>
      </c>
      <c r="E21" s="33" t="s">
        <v>143</v>
      </c>
      <c r="F21" s="25"/>
      <c r="G21" s="25"/>
      <c r="H21" s="25"/>
      <c r="I21" s="25"/>
      <c r="J21" s="25"/>
      <c r="K21" s="25"/>
      <c r="L21" s="17"/>
      <c r="M21" s="3"/>
    </row>
    <row r="22" spans="2:19" ht="15" customHeight="1" x14ac:dyDescent="0.3">
      <c r="B22" s="22">
        <f>+B21+1</f>
        <v>2</v>
      </c>
      <c r="C22" s="27"/>
      <c r="D22" s="19"/>
      <c r="E22" s="24" t="s">
        <v>146</v>
      </c>
      <c r="F22" s="25"/>
      <c r="G22" s="25"/>
      <c r="H22" s="25"/>
      <c r="I22" s="25"/>
      <c r="J22" s="25"/>
      <c r="K22" s="25"/>
      <c r="L22" s="17"/>
      <c r="M22" s="3"/>
      <c r="O22" s="30"/>
      <c r="P22" s="1"/>
      <c r="Q22" s="6"/>
      <c r="S22" s="3"/>
    </row>
    <row r="23" spans="2:19" ht="15" customHeight="1" x14ac:dyDescent="0.3">
      <c r="B23" s="22">
        <f t="shared" ref="B23:B30" si="0">+B22+1</f>
        <v>3</v>
      </c>
      <c r="C23" s="27"/>
      <c r="D23" s="19"/>
      <c r="E23" s="16" t="s">
        <v>145</v>
      </c>
      <c r="F23" s="40"/>
      <c r="G23" s="40"/>
      <c r="H23" s="40"/>
      <c r="I23" s="40"/>
      <c r="J23" s="40"/>
      <c r="K23" s="40"/>
      <c r="L23" s="23"/>
      <c r="M23" s="3"/>
      <c r="O23" s="30"/>
      <c r="P23" s="1"/>
      <c r="Q23" s="6"/>
      <c r="S23" s="3"/>
    </row>
    <row r="24" spans="2:19" ht="15" customHeight="1" x14ac:dyDescent="0.3">
      <c r="B24" s="22">
        <f t="shared" si="0"/>
        <v>4</v>
      </c>
      <c r="C24" s="27"/>
      <c r="D24" s="19"/>
      <c r="E24" s="24"/>
      <c r="F24" s="25"/>
      <c r="G24" s="25"/>
      <c r="H24" s="25"/>
      <c r="I24" s="25"/>
      <c r="J24" s="25"/>
      <c r="K24" s="25"/>
      <c r="L24" s="17"/>
      <c r="M24" s="3"/>
    </row>
    <row r="25" spans="2:19" ht="15" customHeight="1" x14ac:dyDescent="0.3">
      <c r="B25" s="22">
        <f t="shared" si="0"/>
        <v>5</v>
      </c>
      <c r="C25" s="26"/>
      <c r="D25" s="19"/>
      <c r="E25" s="16"/>
      <c r="F25" s="40"/>
      <c r="G25" s="40"/>
      <c r="H25" s="40"/>
      <c r="I25" s="40"/>
      <c r="J25" s="40"/>
      <c r="K25" s="40"/>
      <c r="L25" s="23"/>
      <c r="M25" s="3"/>
    </row>
    <row r="26" spans="2:19" ht="15" customHeight="1" x14ac:dyDescent="0.2">
      <c r="B26" s="22">
        <f t="shared" si="0"/>
        <v>6</v>
      </c>
      <c r="C26" s="26"/>
      <c r="D26" s="19"/>
      <c r="E26" s="38"/>
      <c r="F26" s="29"/>
      <c r="G26" s="29"/>
      <c r="H26" s="29"/>
      <c r="I26" s="29"/>
      <c r="J26" s="29"/>
      <c r="K26" s="29"/>
      <c r="L26" s="17"/>
      <c r="M26" s="3"/>
    </row>
    <row r="27" spans="2:19" ht="15" customHeight="1" x14ac:dyDescent="0.3">
      <c r="B27" s="22">
        <f t="shared" si="0"/>
        <v>7</v>
      </c>
      <c r="C27" s="12"/>
      <c r="D27" s="13"/>
      <c r="E27" s="24"/>
      <c r="F27" s="25"/>
      <c r="G27" s="25"/>
      <c r="H27" s="25"/>
      <c r="I27" s="25"/>
      <c r="J27" s="25"/>
      <c r="K27" s="25"/>
      <c r="L27" s="17"/>
      <c r="M27" s="3"/>
    </row>
    <row r="28" spans="2:19" ht="15" customHeight="1" x14ac:dyDescent="0.3">
      <c r="B28" s="22">
        <f t="shared" si="0"/>
        <v>8</v>
      </c>
      <c r="C28" s="15"/>
      <c r="D28" s="13"/>
      <c r="E28" s="16"/>
      <c r="F28" s="40"/>
      <c r="G28" s="40"/>
      <c r="H28" s="40"/>
      <c r="I28" s="40"/>
      <c r="J28" s="40"/>
      <c r="K28" s="40"/>
      <c r="L28" s="23"/>
      <c r="M28" s="3"/>
    </row>
    <row r="29" spans="2:19" ht="15" customHeight="1" x14ac:dyDescent="0.3">
      <c r="B29" s="22">
        <f t="shared" si="0"/>
        <v>9</v>
      </c>
      <c r="C29" s="15"/>
      <c r="D29" s="13"/>
      <c r="E29" s="24"/>
      <c r="F29" s="25"/>
      <c r="G29" s="25"/>
      <c r="H29" s="25"/>
      <c r="I29" s="25"/>
      <c r="J29" s="25"/>
      <c r="K29" s="25"/>
      <c r="L29" s="17"/>
      <c r="M29" s="3"/>
    </row>
    <row r="30" spans="2:19" ht="15" customHeight="1" x14ac:dyDescent="0.3">
      <c r="B30" s="22">
        <f t="shared" si="0"/>
        <v>10</v>
      </c>
      <c r="C30" s="12"/>
      <c r="D30" s="13"/>
      <c r="E30" s="24"/>
      <c r="F30" s="25"/>
      <c r="G30" s="25"/>
      <c r="H30" s="25"/>
      <c r="I30" s="25"/>
      <c r="J30" s="25"/>
      <c r="K30" s="25"/>
      <c r="L30" s="17"/>
      <c r="M30" s="3"/>
    </row>
    <row r="31" spans="2:19" ht="15" x14ac:dyDescent="0.3">
      <c r="B31" s="2"/>
      <c r="C31" s="2"/>
      <c r="D31" s="2"/>
      <c r="E31" s="6"/>
      <c r="F31" s="3"/>
      <c r="G31" s="3"/>
      <c r="H31" s="3"/>
      <c r="I31" s="3"/>
      <c r="J31" s="3"/>
      <c r="K31" s="3"/>
      <c r="L31" s="3"/>
      <c r="M31" s="3"/>
    </row>
    <row r="32" spans="2:19" ht="15.75" thickBot="1" x14ac:dyDescent="0.35">
      <c r="B32" s="5" t="s">
        <v>13</v>
      </c>
      <c r="C32" s="2"/>
      <c r="D32" s="36"/>
      <c r="E32" s="6"/>
      <c r="F32" s="3"/>
      <c r="G32" s="3"/>
      <c r="H32" s="3"/>
      <c r="I32" s="3"/>
      <c r="J32" s="3"/>
      <c r="K32" s="3"/>
      <c r="L32" s="3"/>
      <c r="M32" s="3"/>
    </row>
    <row r="33" spans="2:13" ht="15.75" thickBot="1" x14ac:dyDescent="0.35">
      <c r="B33" s="42" t="s">
        <v>14</v>
      </c>
      <c r="C33" s="43"/>
      <c r="D33" s="152">
        <v>311401</v>
      </c>
      <c r="E33" s="153"/>
      <c r="F33" s="6"/>
      <c r="G33" s="6"/>
      <c r="H33" s="6"/>
      <c r="I33" s="10"/>
      <c r="J33" s="10"/>
      <c r="K33" s="10"/>
      <c r="L33" s="39"/>
      <c r="M33" s="18"/>
    </row>
    <row r="34" spans="2:13" ht="15" x14ac:dyDescent="0.3">
      <c r="B34" s="2"/>
      <c r="C34" s="2"/>
      <c r="D34" s="36"/>
      <c r="E34" s="2"/>
      <c r="F34" s="6"/>
      <c r="G34" s="6"/>
      <c r="H34" s="6"/>
      <c r="I34" s="154" t="s">
        <v>16</v>
      </c>
      <c r="J34" s="154"/>
      <c r="K34" s="154"/>
      <c r="L34" s="154"/>
      <c r="M34" s="2"/>
    </row>
    <row r="35" spans="2:13" ht="15" x14ac:dyDescent="0.3">
      <c r="B35" s="2"/>
      <c r="C35" s="2"/>
      <c r="D35" s="36"/>
      <c r="E35" s="2"/>
      <c r="F35" s="6"/>
      <c r="G35" s="6"/>
      <c r="H35" s="6"/>
      <c r="I35" s="54"/>
      <c r="J35" s="54"/>
      <c r="K35" s="54"/>
      <c r="L35" s="54"/>
      <c r="M35" s="2"/>
    </row>
    <row r="36" spans="2:13" ht="15" x14ac:dyDescent="0.3">
      <c r="B36" s="2"/>
      <c r="C36" s="2"/>
      <c r="D36" s="36"/>
      <c r="E36" s="2"/>
      <c r="F36" s="6"/>
      <c r="G36" s="6"/>
      <c r="H36" s="6"/>
      <c r="I36" s="54"/>
      <c r="J36" s="54"/>
      <c r="K36" s="54"/>
      <c r="L36" s="54"/>
      <c r="M36" s="2"/>
    </row>
    <row r="37" spans="2:13" x14ac:dyDescent="0.2">
      <c r="B37" s="2"/>
      <c r="C37" s="2"/>
      <c r="D37" s="36"/>
      <c r="E37" s="2"/>
      <c r="F37" s="2"/>
      <c r="G37" s="2"/>
      <c r="H37" s="2"/>
      <c r="I37" s="2"/>
      <c r="J37" s="2"/>
      <c r="K37" s="2"/>
      <c r="L37" s="4"/>
      <c r="M37" s="4"/>
    </row>
    <row r="38" spans="2:13" x14ac:dyDescent="0.2">
      <c r="B38" s="2"/>
      <c r="C38" s="2"/>
      <c r="D38" s="36"/>
      <c r="E38" s="2"/>
      <c r="F38" s="2"/>
      <c r="G38" s="7"/>
      <c r="H38" s="7"/>
      <c r="I38" s="148" t="s">
        <v>17</v>
      </c>
      <c r="J38" s="148"/>
      <c r="K38" s="148"/>
      <c r="L38" s="148"/>
      <c r="M38" s="4"/>
    </row>
    <row r="39" spans="2:13" x14ac:dyDescent="0.2">
      <c r="B39" s="2"/>
      <c r="C39" s="2"/>
      <c r="D39" s="36"/>
      <c r="E39" s="2"/>
      <c r="F39" s="2"/>
      <c r="G39" s="7"/>
      <c r="H39" s="7"/>
      <c r="I39" s="52"/>
      <c r="J39" s="52"/>
      <c r="K39" s="52"/>
      <c r="L39" s="52"/>
      <c r="M39" s="4"/>
    </row>
    <row r="40" spans="2:13" x14ac:dyDescent="0.2">
      <c r="B40" s="2"/>
      <c r="C40" s="2"/>
      <c r="D40" s="36"/>
      <c r="E40" s="2"/>
      <c r="F40" s="2"/>
      <c r="G40" s="7"/>
      <c r="H40" s="7"/>
      <c r="I40" s="52"/>
      <c r="J40" s="52"/>
      <c r="K40" s="52"/>
      <c r="L40" s="52"/>
      <c r="M40" s="4"/>
    </row>
    <row r="41" spans="2:13" x14ac:dyDescent="0.2">
      <c r="B41" s="2"/>
      <c r="C41" s="2"/>
      <c r="D41" s="2"/>
      <c r="E41" s="7"/>
      <c r="F41" s="7"/>
      <c r="G41" s="7"/>
      <c r="H41" s="7"/>
      <c r="I41" s="148"/>
      <c r="J41" s="148"/>
      <c r="K41" s="148"/>
      <c r="L41" s="148"/>
      <c r="M41" s="4"/>
    </row>
    <row r="42" spans="2:13" ht="13.5" thickBot="1" x14ac:dyDescent="0.25">
      <c r="B42" s="2"/>
      <c r="C42" s="147"/>
      <c r="D42" s="147"/>
      <c r="E42" s="147"/>
      <c r="F42" s="147"/>
      <c r="G42" s="7"/>
      <c r="H42" s="7"/>
      <c r="I42" s="56"/>
      <c r="J42" s="56"/>
      <c r="K42" s="56"/>
      <c r="L42" s="57"/>
      <c r="M42" s="4"/>
    </row>
    <row r="43" spans="2:13" x14ac:dyDescent="0.2">
      <c r="B43" s="2"/>
      <c r="C43" s="148" t="s">
        <v>85</v>
      </c>
      <c r="D43" s="148"/>
      <c r="E43" s="148"/>
      <c r="F43" s="148"/>
      <c r="G43" s="7"/>
      <c r="H43" s="7"/>
      <c r="I43" s="148" t="s">
        <v>86</v>
      </c>
      <c r="J43" s="148"/>
      <c r="K43" s="148"/>
      <c r="L43" s="148"/>
      <c r="M43" s="4"/>
    </row>
    <row r="44" spans="2:13" x14ac:dyDescent="0.2">
      <c r="B44" s="2"/>
      <c r="C44" s="148" t="s">
        <v>6</v>
      </c>
      <c r="D44" s="148"/>
      <c r="E44" s="148"/>
      <c r="F44" s="148"/>
      <c r="G44" s="2"/>
      <c r="H44" s="2"/>
      <c r="I44" s="148" t="s">
        <v>87</v>
      </c>
      <c r="J44" s="148"/>
      <c r="K44" s="148"/>
      <c r="L44" s="148"/>
      <c r="M44" s="4"/>
    </row>
    <row r="45" spans="2:13" x14ac:dyDescent="0.2">
      <c r="B45" s="2"/>
      <c r="C45" s="148" t="s">
        <v>21</v>
      </c>
      <c r="D45" s="148"/>
      <c r="E45" s="148"/>
      <c r="F45" s="148"/>
      <c r="G45" s="7"/>
      <c r="H45" s="7"/>
      <c r="I45" s="148" t="s">
        <v>15</v>
      </c>
      <c r="J45" s="148"/>
      <c r="K45" s="148"/>
      <c r="L45" s="148"/>
      <c r="M45" s="4"/>
    </row>
    <row r="46" spans="2:13" x14ac:dyDescent="0.2">
      <c r="B46" s="2"/>
      <c r="C46" s="148"/>
      <c r="D46" s="148"/>
      <c r="E46" s="148"/>
      <c r="F46" s="148"/>
      <c r="G46" s="7"/>
      <c r="H46" s="7"/>
      <c r="I46" s="148"/>
      <c r="J46" s="148"/>
      <c r="K46" s="148"/>
      <c r="L46" s="148"/>
      <c r="M46" s="4"/>
    </row>
    <row r="47" spans="2:13" x14ac:dyDescent="0.2">
      <c r="B47" s="2"/>
      <c r="C47" s="148"/>
      <c r="D47" s="148"/>
      <c r="E47" s="148"/>
      <c r="F47" s="148"/>
      <c r="G47" s="7"/>
      <c r="H47" s="7"/>
      <c r="I47" s="148"/>
      <c r="J47" s="148"/>
      <c r="K47" s="148"/>
      <c r="L47" s="148"/>
      <c r="M47" s="4"/>
    </row>
    <row r="48" spans="2:13" x14ac:dyDescent="0.2">
      <c r="B48" s="44" t="s">
        <v>3</v>
      </c>
      <c r="C48" s="45"/>
      <c r="D48" s="45"/>
      <c r="E48" s="45"/>
      <c r="F48" s="45"/>
      <c r="G48" s="45"/>
      <c r="L48" s="2"/>
      <c r="M48" s="2"/>
    </row>
    <row r="49" spans="2:13" x14ac:dyDescent="0.2">
      <c r="B49" s="44" t="s">
        <v>4</v>
      </c>
      <c r="C49" s="45"/>
      <c r="D49" s="45"/>
      <c r="E49" s="45"/>
      <c r="F49" s="45"/>
      <c r="G49" s="45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8" t="s">
        <v>1</v>
      </c>
      <c r="G51" s="8"/>
      <c r="H51" s="8"/>
      <c r="I51" s="8"/>
      <c r="J51" s="8"/>
      <c r="K51" s="8"/>
      <c r="L51" s="2"/>
      <c r="M51" s="2"/>
    </row>
  </sheetData>
  <mergeCells count="21">
    <mergeCell ref="A1:D1"/>
    <mergeCell ref="A2:D2"/>
    <mergeCell ref="A3:D3"/>
    <mergeCell ref="A4:D4"/>
    <mergeCell ref="B5:L5"/>
    <mergeCell ref="E20:L20"/>
    <mergeCell ref="D33:E33"/>
    <mergeCell ref="I34:L34"/>
    <mergeCell ref="I38:L38"/>
    <mergeCell ref="I41:L41"/>
    <mergeCell ref="C42:F42"/>
    <mergeCell ref="C43:F43"/>
    <mergeCell ref="I43:L43"/>
    <mergeCell ref="C47:F47"/>
    <mergeCell ref="I47:L47"/>
    <mergeCell ref="C44:F44"/>
    <mergeCell ref="I44:L44"/>
    <mergeCell ref="C45:F45"/>
    <mergeCell ref="I45:L45"/>
    <mergeCell ref="C46:F46"/>
    <mergeCell ref="I46:L46"/>
  </mergeCells>
  <pageMargins left="0.39370078740157483" right="0.19685039370078741" top="0.51181102362204722" bottom="0.59055118110236227" header="0" footer="0"/>
  <pageSetup scale="88"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1"/>
  <dimension ref="A1:S51"/>
  <sheetViews>
    <sheetView workbookViewId="0">
      <selection activeCell="H26" sqref="H26"/>
    </sheetView>
  </sheetViews>
  <sheetFormatPr baseColWidth="10" defaultRowHeight="12.75" x14ac:dyDescent="0.2"/>
  <cols>
    <col min="1" max="1" width="5" customWidth="1"/>
    <col min="2" max="2" width="7.42578125" customWidth="1"/>
    <col min="3" max="3" width="6.85546875" customWidth="1"/>
    <col min="4" max="4" width="9.140625" customWidth="1"/>
    <col min="5" max="5" width="11.7109375" customWidth="1"/>
    <col min="6" max="9" width="8.28515625" customWidth="1"/>
    <col min="10" max="10" width="4.5703125" customWidth="1"/>
    <col min="11" max="11" width="8.28515625" customWidth="1"/>
    <col min="12" max="12" width="12" customWidth="1"/>
    <col min="13" max="13" width="10.85546875" customWidth="1"/>
  </cols>
  <sheetData>
    <row r="1" spans="1:13" x14ac:dyDescent="0.2">
      <c r="A1" s="155" t="s">
        <v>0</v>
      </c>
      <c r="B1" s="155"/>
      <c r="C1" s="155"/>
      <c r="D1" s="155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56" t="s">
        <v>8</v>
      </c>
      <c r="B2" s="156"/>
      <c r="C2" s="156"/>
      <c r="D2" s="156"/>
      <c r="E2" s="2"/>
      <c r="F2" s="2"/>
      <c r="G2" s="2"/>
      <c r="H2" s="2"/>
      <c r="I2" s="2"/>
      <c r="J2" s="2"/>
      <c r="K2" s="2"/>
      <c r="L2" s="21"/>
      <c r="M2" s="21"/>
    </row>
    <row r="3" spans="1:13" ht="15.75" x14ac:dyDescent="0.25">
      <c r="A3" s="156" t="s">
        <v>7</v>
      </c>
      <c r="B3" s="156"/>
      <c r="C3" s="156"/>
      <c r="D3" s="156"/>
      <c r="E3" s="2"/>
      <c r="F3" s="2"/>
      <c r="G3" s="2"/>
      <c r="H3" s="21"/>
      <c r="I3" s="21"/>
      <c r="J3" s="21"/>
      <c r="K3" s="37"/>
      <c r="L3" s="37"/>
      <c r="M3" s="21"/>
    </row>
    <row r="4" spans="1:13" ht="13.5" customHeight="1" x14ac:dyDescent="0.3">
      <c r="A4" s="155"/>
      <c r="B4" s="155"/>
      <c r="C4" s="155"/>
      <c r="D4" s="155"/>
      <c r="E4" s="2"/>
      <c r="F4" s="6"/>
      <c r="G4" s="6"/>
      <c r="H4" s="6"/>
      <c r="I4" s="6"/>
      <c r="J4" s="6"/>
      <c r="K4" s="6"/>
      <c r="L4" s="7"/>
      <c r="M4" s="7"/>
    </row>
    <row r="5" spans="1:13" ht="18" x14ac:dyDescent="0.25">
      <c r="B5" s="157" t="s">
        <v>10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34"/>
    </row>
    <row r="6" spans="1:13" ht="13.5" thickBo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B7" s="2"/>
      <c r="C7" s="2"/>
      <c r="D7" s="2"/>
      <c r="E7" s="2"/>
      <c r="F7" s="2"/>
      <c r="G7" s="2"/>
      <c r="H7" s="46" t="s">
        <v>11</v>
      </c>
      <c r="I7" s="48"/>
      <c r="J7" s="47"/>
      <c r="K7" s="53" t="s">
        <v>126</v>
      </c>
      <c r="L7" s="48"/>
      <c r="M7" s="2"/>
    </row>
    <row r="8" spans="1:13" ht="12.75" customHeight="1" thickBot="1" x14ac:dyDescent="0.25">
      <c r="B8" s="2"/>
      <c r="C8" s="2"/>
      <c r="D8" s="2"/>
      <c r="E8" s="2"/>
      <c r="F8" s="2"/>
      <c r="G8" s="2"/>
      <c r="H8" s="49"/>
      <c r="I8" s="51"/>
      <c r="J8" s="50"/>
      <c r="K8" s="50"/>
      <c r="L8" s="51"/>
      <c r="M8" s="2"/>
    </row>
    <row r="9" spans="1:13" x14ac:dyDescent="0.2">
      <c r="B9" s="5" t="s">
        <v>128</v>
      </c>
      <c r="C9" s="2"/>
      <c r="D9" s="2"/>
      <c r="E9" s="2"/>
      <c r="F9" s="2"/>
      <c r="G9" s="5"/>
      <c r="H9" s="5"/>
      <c r="I9" s="5"/>
      <c r="J9" s="5"/>
      <c r="K9" s="5"/>
      <c r="L9" s="5"/>
      <c r="M9" s="2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x14ac:dyDescent="0.3">
      <c r="B11" s="21" t="s">
        <v>18</v>
      </c>
      <c r="C11" s="6"/>
      <c r="D11" s="21"/>
      <c r="E11" s="6"/>
      <c r="F11" s="6"/>
      <c r="G11" s="21"/>
      <c r="H11" s="6"/>
      <c r="I11" s="6"/>
      <c r="J11" s="6"/>
      <c r="K11" s="6"/>
      <c r="L11" s="6"/>
      <c r="M11" s="6"/>
    </row>
    <row r="12" spans="1:13" ht="15" x14ac:dyDescent="0.3">
      <c r="B12" s="21"/>
      <c r="C12" s="6"/>
      <c r="D12" s="6"/>
      <c r="E12" s="6"/>
      <c r="F12" s="6"/>
      <c r="G12" s="21"/>
      <c r="H12" s="6"/>
      <c r="I12" s="6"/>
      <c r="J12" s="6"/>
      <c r="K12" s="6"/>
      <c r="L12" s="6"/>
      <c r="M12" s="6"/>
    </row>
    <row r="13" spans="1:13" ht="15" x14ac:dyDescent="0.3">
      <c r="B13" s="20" t="s">
        <v>9</v>
      </c>
      <c r="C13" s="21"/>
      <c r="D13" s="6" t="s">
        <v>83</v>
      </c>
      <c r="E13" s="9"/>
      <c r="F13" s="6"/>
      <c r="G13" s="6"/>
      <c r="H13" s="6"/>
      <c r="I13" s="6"/>
      <c r="J13" s="6"/>
      <c r="K13" s="6"/>
      <c r="L13" s="6"/>
      <c r="M13" s="6"/>
    </row>
    <row r="14" spans="1:13" ht="15" x14ac:dyDescent="0.3">
      <c r="B14" s="20"/>
      <c r="C14" s="6"/>
      <c r="D14" s="6"/>
      <c r="E14" s="9"/>
      <c r="F14" s="6"/>
      <c r="G14" s="6"/>
      <c r="H14" s="6"/>
      <c r="I14" s="6"/>
      <c r="J14" s="6"/>
      <c r="K14" s="6"/>
      <c r="L14" s="6"/>
      <c r="M14" s="6"/>
    </row>
    <row r="15" spans="1:13" ht="15" x14ac:dyDescent="0.3">
      <c r="B15" s="20" t="s">
        <v>33</v>
      </c>
      <c r="C15" s="6"/>
      <c r="D15" s="6" t="s">
        <v>84</v>
      </c>
      <c r="E15" s="9"/>
      <c r="F15" s="21"/>
      <c r="G15" s="21"/>
      <c r="H15" s="21"/>
      <c r="I15" s="21"/>
      <c r="J15" s="21"/>
      <c r="K15" s="21"/>
      <c r="L15" s="7"/>
      <c r="M15" s="7"/>
    </row>
    <row r="16" spans="1:13" ht="15" x14ac:dyDescent="0.3">
      <c r="B16" s="20"/>
      <c r="C16" s="6"/>
      <c r="D16" s="6"/>
      <c r="E16" s="9"/>
      <c r="F16" s="21"/>
      <c r="G16" s="21"/>
      <c r="H16" s="21"/>
      <c r="I16" s="21"/>
      <c r="J16" s="21"/>
      <c r="K16" s="21"/>
      <c r="L16" s="7"/>
      <c r="M16" s="7"/>
    </row>
    <row r="17" spans="2:19" ht="15" x14ac:dyDescent="0.3">
      <c r="B17" s="21" t="s">
        <v>12</v>
      </c>
      <c r="C17" s="6"/>
      <c r="D17" s="6"/>
      <c r="E17" s="6"/>
      <c r="F17" s="6"/>
      <c r="G17" s="6"/>
      <c r="H17" s="6"/>
      <c r="I17" s="6"/>
      <c r="J17" s="6"/>
      <c r="K17" s="10"/>
      <c r="L17" s="10"/>
      <c r="M17" s="6"/>
    </row>
    <row r="18" spans="2:19" ht="15" x14ac:dyDescent="0.3">
      <c r="B18" s="40"/>
      <c r="C18" s="10"/>
      <c r="D18" s="10"/>
      <c r="E18" s="41"/>
      <c r="F18" s="10"/>
      <c r="G18" s="10"/>
      <c r="H18" s="10"/>
      <c r="I18" s="10"/>
      <c r="J18" s="10"/>
      <c r="K18" s="10"/>
      <c r="L18" s="10"/>
      <c r="M18" s="6"/>
    </row>
    <row r="19" spans="2:19" ht="15" x14ac:dyDescent="0.3">
      <c r="B19" s="11"/>
      <c r="C19" s="11"/>
      <c r="D19" s="11"/>
      <c r="E19" s="6" t="s">
        <v>1</v>
      </c>
      <c r="F19" s="11"/>
      <c r="G19" s="11"/>
      <c r="H19" s="11"/>
      <c r="I19" s="11"/>
      <c r="J19" s="11"/>
      <c r="K19" s="11"/>
      <c r="L19" s="11" t="s">
        <v>1</v>
      </c>
      <c r="M19" s="11"/>
    </row>
    <row r="20" spans="2:19" ht="15.75" x14ac:dyDescent="0.25">
      <c r="B20" s="31" t="s">
        <v>19</v>
      </c>
      <c r="C20" s="32" t="s">
        <v>5</v>
      </c>
      <c r="D20" s="32" t="s">
        <v>20</v>
      </c>
      <c r="E20" s="149" t="s">
        <v>2</v>
      </c>
      <c r="F20" s="150"/>
      <c r="G20" s="150"/>
      <c r="H20" s="150"/>
      <c r="I20" s="150"/>
      <c r="J20" s="150"/>
      <c r="K20" s="150"/>
      <c r="L20" s="151"/>
      <c r="M20" s="35"/>
    </row>
    <row r="21" spans="2:19" ht="15" customHeight="1" x14ac:dyDescent="0.2">
      <c r="B21" s="22">
        <v>1</v>
      </c>
      <c r="C21" s="28">
        <v>160</v>
      </c>
      <c r="D21" s="14" t="s">
        <v>54</v>
      </c>
      <c r="E21" s="33" t="s">
        <v>127</v>
      </c>
      <c r="F21" s="25"/>
      <c r="G21" s="25"/>
      <c r="H21" s="25"/>
      <c r="I21" s="25"/>
      <c r="J21" s="25"/>
      <c r="K21" s="25"/>
      <c r="L21" s="17"/>
      <c r="M21" s="3"/>
    </row>
    <row r="22" spans="2:19" ht="15" customHeight="1" x14ac:dyDescent="0.3">
      <c r="B22" s="22">
        <f>+B21+1</f>
        <v>2</v>
      </c>
      <c r="C22" s="27"/>
      <c r="D22" s="19"/>
      <c r="E22" s="24" t="s">
        <v>88</v>
      </c>
      <c r="F22" s="25"/>
      <c r="G22" s="25"/>
      <c r="H22" s="25"/>
      <c r="I22" s="25"/>
      <c r="J22" s="25"/>
      <c r="K22" s="25"/>
      <c r="L22" s="17"/>
      <c r="M22" s="3"/>
      <c r="O22" s="30"/>
      <c r="P22" s="1"/>
      <c r="Q22" s="6"/>
      <c r="S22" s="3"/>
    </row>
    <row r="23" spans="2:19" ht="15" customHeight="1" x14ac:dyDescent="0.3">
      <c r="B23" s="22">
        <f t="shared" ref="B23:B30" si="0">+B22+1</f>
        <v>3</v>
      </c>
      <c r="C23" s="27"/>
      <c r="D23" s="19"/>
      <c r="E23" s="16" t="s">
        <v>89</v>
      </c>
      <c r="F23" s="40"/>
      <c r="G23" s="40"/>
      <c r="H23" s="40"/>
      <c r="I23" s="40"/>
      <c r="J23" s="40"/>
      <c r="K23" s="40"/>
      <c r="L23" s="23"/>
      <c r="M23" s="3"/>
      <c r="O23" s="30"/>
      <c r="P23" s="1"/>
      <c r="Q23" s="6"/>
      <c r="S23" s="3"/>
    </row>
    <row r="24" spans="2:19" ht="15" customHeight="1" x14ac:dyDescent="0.3">
      <c r="B24" s="22">
        <f t="shared" si="0"/>
        <v>4</v>
      </c>
      <c r="C24" s="27"/>
      <c r="D24" s="19"/>
      <c r="E24" s="24"/>
      <c r="F24" s="25"/>
      <c r="G24" s="25"/>
      <c r="H24" s="25"/>
      <c r="I24" s="25"/>
      <c r="J24" s="25"/>
      <c r="K24" s="25"/>
      <c r="L24" s="17"/>
      <c r="M24" s="3"/>
    </row>
    <row r="25" spans="2:19" ht="15" customHeight="1" x14ac:dyDescent="0.3">
      <c r="B25" s="22">
        <f t="shared" si="0"/>
        <v>5</v>
      </c>
      <c r="C25" s="26"/>
      <c r="D25" s="19"/>
      <c r="E25" s="16"/>
      <c r="F25" s="40"/>
      <c r="G25" s="40"/>
      <c r="H25" s="40"/>
      <c r="I25" s="40"/>
      <c r="J25" s="40"/>
      <c r="K25" s="40"/>
      <c r="L25" s="23"/>
      <c r="M25" s="3"/>
    </row>
    <row r="26" spans="2:19" ht="15" customHeight="1" x14ac:dyDescent="0.2">
      <c r="B26" s="22">
        <f t="shared" si="0"/>
        <v>6</v>
      </c>
      <c r="C26" s="26"/>
      <c r="D26" s="19"/>
      <c r="E26" s="38"/>
      <c r="F26" s="29"/>
      <c r="G26" s="29"/>
      <c r="H26" s="29"/>
      <c r="I26" s="29"/>
      <c r="J26" s="29"/>
      <c r="K26" s="29"/>
      <c r="L26" s="17"/>
      <c r="M26" s="3"/>
    </row>
    <row r="27" spans="2:19" ht="15" customHeight="1" x14ac:dyDescent="0.3">
      <c r="B27" s="22">
        <f t="shared" si="0"/>
        <v>7</v>
      </c>
      <c r="C27" s="12"/>
      <c r="D27" s="13"/>
      <c r="E27" s="24"/>
      <c r="F27" s="25"/>
      <c r="G27" s="25"/>
      <c r="H27" s="25"/>
      <c r="I27" s="25"/>
      <c r="J27" s="25"/>
      <c r="K27" s="25"/>
      <c r="L27" s="17"/>
      <c r="M27" s="3"/>
    </row>
    <row r="28" spans="2:19" ht="15" customHeight="1" x14ac:dyDescent="0.3">
      <c r="B28" s="22">
        <f t="shared" si="0"/>
        <v>8</v>
      </c>
      <c r="C28" s="15"/>
      <c r="D28" s="13"/>
      <c r="E28" s="16"/>
      <c r="F28" s="40"/>
      <c r="G28" s="40"/>
      <c r="H28" s="40"/>
      <c r="I28" s="40"/>
      <c r="J28" s="40"/>
      <c r="K28" s="40"/>
      <c r="L28" s="23"/>
      <c r="M28" s="3"/>
    </row>
    <row r="29" spans="2:19" ht="15" customHeight="1" x14ac:dyDescent="0.3">
      <c r="B29" s="22">
        <f t="shared" si="0"/>
        <v>9</v>
      </c>
      <c r="C29" s="15"/>
      <c r="D29" s="13"/>
      <c r="E29" s="24"/>
      <c r="F29" s="25"/>
      <c r="G29" s="25"/>
      <c r="H29" s="25"/>
      <c r="I29" s="25"/>
      <c r="J29" s="25"/>
      <c r="K29" s="25"/>
      <c r="L29" s="17"/>
      <c r="M29" s="3"/>
    </row>
    <row r="30" spans="2:19" ht="15" customHeight="1" x14ac:dyDescent="0.3">
      <c r="B30" s="22">
        <f t="shared" si="0"/>
        <v>10</v>
      </c>
      <c r="C30" s="12"/>
      <c r="D30" s="13"/>
      <c r="E30" s="24"/>
      <c r="F30" s="25"/>
      <c r="G30" s="25"/>
      <c r="H30" s="25"/>
      <c r="I30" s="25"/>
      <c r="J30" s="25"/>
      <c r="K30" s="25"/>
      <c r="L30" s="17"/>
      <c r="M30" s="3"/>
    </row>
    <row r="31" spans="2:19" ht="15" x14ac:dyDescent="0.3">
      <c r="B31" s="2"/>
      <c r="C31" s="2"/>
      <c r="D31" s="2"/>
      <c r="E31" s="6"/>
      <c r="F31" s="3"/>
      <c r="G31" s="3"/>
      <c r="H31" s="3"/>
      <c r="I31" s="3"/>
      <c r="J31" s="3"/>
      <c r="K31" s="3"/>
      <c r="L31" s="3"/>
      <c r="M31" s="3"/>
    </row>
    <row r="32" spans="2:19" ht="15.75" thickBot="1" x14ac:dyDescent="0.35">
      <c r="B32" s="5" t="s">
        <v>13</v>
      </c>
      <c r="C32" s="2"/>
      <c r="D32" s="36"/>
      <c r="E32" s="6"/>
      <c r="F32" s="3"/>
      <c r="G32" s="3"/>
      <c r="H32" s="3"/>
      <c r="I32" s="3"/>
      <c r="J32" s="3"/>
      <c r="K32" s="3"/>
      <c r="L32" s="3"/>
      <c r="M32" s="3"/>
    </row>
    <row r="33" spans="2:13" ht="15.75" thickBot="1" x14ac:dyDescent="0.35">
      <c r="B33" s="42" t="s">
        <v>14</v>
      </c>
      <c r="C33" s="43"/>
      <c r="D33" s="152">
        <v>311401</v>
      </c>
      <c r="E33" s="153"/>
      <c r="F33" s="6"/>
      <c r="G33" s="6"/>
      <c r="H33" s="6"/>
      <c r="I33" s="10"/>
      <c r="J33" s="10"/>
      <c r="K33" s="10"/>
      <c r="L33" s="39"/>
      <c r="M33" s="18"/>
    </row>
    <row r="34" spans="2:13" ht="15" x14ac:dyDescent="0.3">
      <c r="B34" s="2"/>
      <c r="C34" s="2"/>
      <c r="D34" s="36"/>
      <c r="E34" s="2"/>
      <c r="F34" s="6"/>
      <c r="G34" s="6"/>
      <c r="H34" s="6"/>
      <c r="I34" s="154" t="s">
        <v>16</v>
      </c>
      <c r="J34" s="154"/>
      <c r="K34" s="154"/>
      <c r="L34" s="154"/>
      <c r="M34" s="2"/>
    </row>
    <row r="35" spans="2:13" ht="15" x14ac:dyDescent="0.3">
      <c r="B35" s="2"/>
      <c r="C35" s="2"/>
      <c r="D35" s="36"/>
      <c r="E35" s="2"/>
      <c r="F35" s="6"/>
      <c r="G35" s="6"/>
      <c r="H35" s="6"/>
      <c r="I35" s="54"/>
      <c r="J35" s="54"/>
      <c r="K35" s="54"/>
      <c r="L35" s="54"/>
      <c r="M35" s="2"/>
    </row>
    <row r="36" spans="2:13" ht="15" x14ac:dyDescent="0.3">
      <c r="B36" s="2"/>
      <c r="C36" s="2"/>
      <c r="D36" s="36"/>
      <c r="E36" s="2"/>
      <c r="F36" s="6"/>
      <c r="G36" s="6"/>
      <c r="H36" s="6"/>
      <c r="I36" s="54"/>
      <c r="J36" s="54"/>
      <c r="K36" s="54"/>
      <c r="L36" s="54"/>
      <c r="M36" s="2"/>
    </row>
    <row r="37" spans="2:13" x14ac:dyDescent="0.2">
      <c r="B37" s="2"/>
      <c r="C37" s="2"/>
      <c r="D37" s="36"/>
      <c r="E37" s="2"/>
      <c r="F37" s="2"/>
      <c r="G37" s="2"/>
      <c r="H37" s="2"/>
      <c r="I37" s="2"/>
      <c r="J37" s="2"/>
      <c r="K37" s="2"/>
      <c r="L37" s="4"/>
      <c r="M37" s="4"/>
    </row>
    <row r="38" spans="2:13" x14ac:dyDescent="0.2">
      <c r="B38" s="2"/>
      <c r="C38" s="2"/>
      <c r="D38" s="36"/>
      <c r="E38" s="2"/>
      <c r="F38" s="2"/>
      <c r="G38" s="7"/>
      <c r="H38" s="7"/>
      <c r="I38" s="148" t="s">
        <v>17</v>
      </c>
      <c r="J38" s="148"/>
      <c r="K38" s="148"/>
      <c r="L38" s="148"/>
      <c r="M38" s="4"/>
    </row>
    <row r="39" spans="2:13" x14ac:dyDescent="0.2">
      <c r="B39" s="2"/>
      <c r="C39" s="2"/>
      <c r="D39" s="36"/>
      <c r="E39" s="2"/>
      <c r="F39" s="2"/>
      <c r="G39" s="7"/>
      <c r="H39" s="7"/>
      <c r="I39" s="52"/>
      <c r="J39" s="52"/>
      <c r="K39" s="52"/>
      <c r="L39" s="52"/>
      <c r="M39" s="4"/>
    </row>
    <row r="40" spans="2:13" x14ac:dyDescent="0.2">
      <c r="B40" s="2"/>
      <c r="C40" s="2"/>
      <c r="D40" s="36"/>
      <c r="E40" s="2"/>
      <c r="F40" s="2"/>
      <c r="G40" s="7"/>
      <c r="H40" s="7"/>
      <c r="I40" s="52"/>
      <c r="J40" s="52"/>
      <c r="K40" s="52"/>
      <c r="L40" s="52"/>
      <c r="M40" s="4"/>
    </row>
    <row r="41" spans="2:13" x14ac:dyDescent="0.2">
      <c r="B41" s="2"/>
      <c r="C41" s="2"/>
      <c r="D41" s="2"/>
      <c r="E41" s="7"/>
      <c r="F41" s="7"/>
      <c r="G41" s="7"/>
      <c r="H41" s="7"/>
      <c r="I41" s="148"/>
      <c r="J41" s="148"/>
      <c r="K41" s="148"/>
      <c r="L41" s="148"/>
      <c r="M41" s="4"/>
    </row>
    <row r="42" spans="2:13" ht="13.5" thickBot="1" x14ac:dyDescent="0.25">
      <c r="B42" s="2"/>
      <c r="C42" s="147"/>
      <c r="D42" s="147"/>
      <c r="E42" s="147"/>
      <c r="F42" s="147"/>
      <c r="G42" s="7"/>
      <c r="H42" s="7"/>
      <c r="I42" s="56"/>
      <c r="J42" s="56"/>
      <c r="K42" s="56"/>
      <c r="L42" s="57"/>
      <c r="M42" s="4"/>
    </row>
    <row r="43" spans="2:13" x14ac:dyDescent="0.2">
      <c r="B43" s="2"/>
      <c r="C43" s="148" t="s">
        <v>85</v>
      </c>
      <c r="D43" s="148"/>
      <c r="E43" s="148"/>
      <c r="F43" s="148"/>
      <c r="G43" s="7"/>
      <c r="H43" s="7"/>
      <c r="I43" s="148" t="s">
        <v>86</v>
      </c>
      <c r="J43" s="148"/>
      <c r="K43" s="148"/>
      <c r="L43" s="148"/>
      <c r="M43" s="4"/>
    </row>
    <row r="44" spans="2:13" x14ac:dyDescent="0.2">
      <c r="B44" s="2"/>
      <c r="C44" s="148" t="s">
        <v>6</v>
      </c>
      <c r="D44" s="148"/>
      <c r="E44" s="148"/>
      <c r="F44" s="148"/>
      <c r="G44" s="2"/>
      <c r="H44" s="2"/>
      <c r="I44" s="148" t="s">
        <v>87</v>
      </c>
      <c r="J44" s="148"/>
      <c r="K44" s="148"/>
      <c r="L44" s="148"/>
      <c r="M44" s="4"/>
    </row>
    <row r="45" spans="2:13" x14ac:dyDescent="0.2">
      <c r="B45" s="2"/>
      <c r="C45" s="148" t="s">
        <v>21</v>
      </c>
      <c r="D45" s="148"/>
      <c r="E45" s="148"/>
      <c r="F45" s="148"/>
      <c r="G45" s="7"/>
      <c r="H45" s="7"/>
      <c r="I45" s="148" t="s">
        <v>15</v>
      </c>
      <c r="J45" s="148"/>
      <c r="K45" s="148"/>
      <c r="L45" s="148"/>
      <c r="M45" s="4"/>
    </row>
    <row r="46" spans="2:13" x14ac:dyDescent="0.2">
      <c r="B46" s="2"/>
      <c r="C46" s="148"/>
      <c r="D46" s="148"/>
      <c r="E46" s="148"/>
      <c r="F46" s="148"/>
      <c r="G46" s="7"/>
      <c r="H46" s="7"/>
      <c r="I46" s="148"/>
      <c r="J46" s="148"/>
      <c r="K46" s="148"/>
      <c r="L46" s="148"/>
      <c r="M46" s="4"/>
    </row>
    <row r="47" spans="2:13" x14ac:dyDescent="0.2">
      <c r="B47" s="2"/>
      <c r="C47" s="148"/>
      <c r="D47" s="148"/>
      <c r="E47" s="148"/>
      <c r="F47" s="148"/>
      <c r="G47" s="7"/>
      <c r="H47" s="7"/>
      <c r="I47" s="148"/>
      <c r="J47" s="148"/>
      <c r="K47" s="148"/>
      <c r="L47" s="148"/>
      <c r="M47" s="4"/>
    </row>
    <row r="48" spans="2:13" x14ac:dyDescent="0.2">
      <c r="B48" s="44" t="s">
        <v>3</v>
      </c>
      <c r="C48" s="45"/>
      <c r="D48" s="45"/>
      <c r="E48" s="45"/>
      <c r="F48" s="45"/>
      <c r="G48" s="45"/>
      <c r="L48" s="2"/>
      <c r="M48" s="2"/>
    </row>
    <row r="49" spans="2:13" x14ac:dyDescent="0.2">
      <c r="B49" s="44" t="s">
        <v>4</v>
      </c>
      <c r="C49" s="45"/>
      <c r="D49" s="45"/>
      <c r="E49" s="45"/>
      <c r="F49" s="45"/>
      <c r="G49" s="45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8" t="s">
        <v>1</v>
      </c>
      <c r="G51" s="8"/>
      <c r="H51" s="8"/>
      <c r="I51" s="8"/>
      <c r="J51" s="8"/>
      <c r="K51" s="8"/>
      <c r="L51" s="2"/>
      <c r="M51" s="2"/>
    </row>
  </sheetData>
  <mergeCells count="21">
    <mergeCell ref="C47:F47"/>
    <mergeCell ref="I47:L47"/>
    <mergeCell ref="C44:F44"/>
    <mergeCell ref="I44:L44"/>
    <mergeCell ref="C45:F45"/>
    <mergeCell ref="I45:L45"/>
    <mergeCell ref="C46:F46"/>
    <mergeCell ref="I46:L46"/>
    <mergeCell ref="C43:F43"/>
    <mergeCell ref="I43:L43"/>
    <mergeCell ref="A1:D1"/>
    <mergeCell ref="A2:D2"/>
    <mergeCell ref="A3:D3"/>
    <mergeCell ref="A4:D4"/>
    <mergeCell ref="B5:L5"/>
    <mergeCell ref="E20:L20"/>
    <mergeCell ref="D33:E33"/>
    <mergeCell ref="I34:L34"/>
    <mergeCell ref="I38:L38"/>
    <mergeCell ref="I41:L41"/>
    <mergeCell ref="C42:F42"/>
  </mergeCells>
  <pageMargins left="0.39370078740157483" right="0.19685039370078741" top="0.51181102362204722" bottom="0.59055118110236227" header="0" footer="0"/>
  <pageSetup scale="88" orientation="portrait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2"/>
  <dimension ref="A1:S51"/>
  <sheetViews>
    <sheetView workbookViewId="0">
      <selection activeCell="B26" sqref="B26"/>
    </sheetView>
  </sheetViews>
  <sheetFormatPr baseColWidth="10" defaultRowHeight="12.75" x14ac:dyDescent="0.2"/>
  <cols>
    <col min="1" max="1" width="5" customWidth="1"/>
    <col min="2" max="2" width="7.42578125" customWidth="1"/>
    <col min="3" max="3" width="6.85546875" customWidth="1"/>
    <col min="4" max="4" width="9.140625" customWidth="1"/>
    <col min="5" max="5" width="11.7109375" customWidth="1"/>
    <col min="6" max="9" width="8.28515625" customWidth="1"/>
    <col min="10" max="10" width="4.5703125" customWidth="1"/>
    <col min="11" max="11" width="8.28515625" customWidth="1"/>
    <col min="12" max="12" width="12" customWidth="1"/>
    <col min="13" max="13" width="10.85546875" customWidth="1"/>
  </cols>
  <sheetData>
    <row r="1" spans="1:13" x14ac:dyDescent="0.2">
      <c r="A1" s="155" t="s">
        <v>0</v>
      </c>
      <c r="B1" s="155"/>
      <c r="C1" s="155"/>
      <c r="D1" s="155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56" t="s">
        <v>8</v>
      </c>
      <c r="B2" s="156"/>
      <c r="C2" s="156"/>
      <c r="D2" s="156"/>
      <c r="E2" s="2"/>
      <c r="F2" s="2"/>
      <c r="G2" s="2"/>
      <c r="H2" s="2"/>
      <c r="I2" s="2"/>
      <c r="J2" s="2"/>
      <c r="K2" s="2"/>
      <c r="L2" s="21"/>
      <c r="M2" s="21"/>
    </row>
    <row r="3" spans="1:13" ht="15.75" x14ac:dyDescent="0.25">
      <c r="A3" s="156" t="s">
        <v>7</v>
      </c>
      <c r="B3" s="156"/>
      <c r="C3" s="156"/>
      <c r="D3" s="156"/>
      <c r="E3" s="2"/>
      <c r="F3" s="2"/>
      <c r="G3" s="2"/>
      <c r="H3" s="21"/>
      <c r="I3" s="21"/>
      <c r="J3" s="21"/>
      <c r="K3" s="37"/>
      <c r="L3" s="37"/>
      <c r="M3" s="21"/>
    </row>
    <row r="4" spans="1:13" ht="13.5" customHeight="1" x14ac:dyDescent="0.3">
      <c r="A4" s="155"/>
      <c r="B4" s="155"/>
      <c r="C4" s="155"/>
      <c r="D4" s="155"/>
      <c r="E4" s="2"/>
      <c r="F4" s="6"/>
      <c r="G4" s="6"/>
      <c r="H4" s="6"/>
      <c r="I4" s="6"/>
      <c r="J4" s="6"/>
      <c r="K4" s="6"/>
      <c r="L4" s="7"/>
      <c r="M4" s="7"/>
    </row>
    <row r="5" spans="1:13" ht="18" x14ac:dyDescent="0.25">
      <c r="B5" s="157" t="s">
        <v>10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34"/>
    </row>
    <row r="6" spans="1:13" ht="13.5" thickBo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B7" s="2"/>
      <c r="C7" s="2"/>
      <c r="D7" s="2"/>
      <c r="E7" s="2"/>
      <c r="F7" s="2"/>
      <c r="G7" s="2"/>
      <c r="H7" s="46" t="s">
        <v>11</v>
      </c>
      <c r="I7" s="48"/>
      <c r="J7" s="47"/>
      <c r="K7" s="53" t="s">
        <v>124</v>
      </c>
      <c r="L7" s="48"/>
      <c r="M7" s="2"/>
    </row>
    <row r="8" spans="1:13" ht="12.75" customHeight="1" thickBot="1" x14ac:dyDescent="0.25">
      <c r="B8" s="2"/>
      <c r="C8" s="2"/>
      <c r="D8" s="2"/>
      <c r="E8" s="2"/>
      <c r="F8" s="2"/>
      <c r="G8" s="2"/>
      <c r="H8" s="49"/>
      <c r="I8" s="51"/>
      <c r="J8" s="50"/>
      <c r="K8" s="50"/>
      <c r="L8" s="51"/>
      <c r="M8" s="2"/>
    </row>
    <row r="9" spans="1:13" x14ac:dyDescent="0.2">
      <c r="B9" s="5" t="s">
        <v>132</v>
      </c>
      <c r="C9" s="2"/>
      <c r="D9" s="2"/>
      <c r="E9" s="2"/>
      <c r="F9" s="2"/>
      <c r="G9" s="5"/>
      <c r="H9" s="5"/>
      <c r="I9" s="5"/>
      <c r="J9" s="5"/>
      <c r="K9" s="5"/>
      <c r="L9" s="5"/>
      <c r="M9" s="2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x14ac:dyDescent="0.3">
      <c r="B11" s="21" t="s">
        <v>18</v>
      </c>
      <c r="C11" s="6"/>
      <c r="D11" s="21"/>
      <c r="E11" s="6"/>
      <c r="F11" s="6"/>
      <c r="G11" s="21"/>
      <c r="H11" s="6"/>
      <c r="I11" s="6"/>
      <c r="J11" s="6"/>
      <c r="K11" s="6"/>
      <c r="L11" s="6"/>
      <c r="M11" s="6"/>
    </row>
    <row r="12" spans="1:13" ht="15" x14ac:dyDescent="0.3">
      <c r="B12" s="21"/>
      <c r="C12" s="6"/>
      <c r="D12" s="6"/>
      <c r="E12" s="6"/>
      <c r="F12" s="6"/>
      <c r="G12" s="21"/>
      <c r="H12" s="6"/>
      <c r="I12" s="6"/>
      <c r="J12" s="6"/>
      <c r="K12" s="6"/>
      <c r="L12" s="6"/>
      <c r="M12" s="6"/>
    </row>
    <row r="13" spans="1:13" ht="15" x14ac:dyDescent="0.3">
      <c r="B13" s="20" t="s">
        <v>9</v>
      </c>
      <c r="C13" s="21"/>
      <c r="D13" s="6" t="s">
        <v>83</v>
      </c>
      <c r="E13" s="9"/>
      <c r="F13" s="6"/>
      <c r="G13" s="6"/>
      <c r="H13" s="6"/>
      <c r="I13" s="6"/>
      <c r="J13" s="6"/>
      <c r="K13" s="6"/>
      <c r="L13" s="6"/>
      <c r="M13" s="6"/>
    </row>
    <row r="14" spans="1:13" ht="15" x14ac:dyDescent="0.3">
      <c r="B14" s="20"/>
      <c r="C14" s="6"/>
      <c r="D14" s="6"/>
      <c r="E14" s="9"/>
      <c r="F14" s="6"/>
      <c r="G14" s="6"/>
      <c r="H14" s="6"/>
      <c r="I14" s="6"/>
      <c r="J14" s="6"/>
      <c r="K14" s="6"/>
      <c r="L14" s="6"/>
      <c r="M14" s="6"/>
    </row>
    <row r="15" spans="1:13" ht="15" x14ac:dyDescent="0.3">
      <c r="B15" s="20" t="s">
        <v>33</v>
      </c>
      <c r="C15" s="6"/>
      <c r="D15" s="6" t="s">
        <v>84</v>
      </c>
      <c r="E15" s="9"/>
      <c r="F15" s="21"/>
      <c r="G15" s="21"/>
      <c r="H15" s="21"/>
      <c r="I15" s="21"/>
      <c r="J15" s="21"/>
      <c r="K15" s="21"/>
      <c r="L15" s="7"/>
      <c r="M15" s="7"/>
    </row>
    <row r="16" spans="1:13" ht="15" x14ac:dyDescent="0.3">
      <c r="B16" s="20"/>
      <c r="C16" s="6"/>
      <c r="D16" s="6"/>
      <c r="E16" s="9"/>
      <c r="F16" s="21"/>
      <c r="G16" s="21"/>
      <c r="H16" s="21"/>
      <c r="I16" s="21"/>
      <c r="J16" s="21"/>
      <c r="K16" s="21"/>
      <c r="L16" s="7"/>
      <c r="M16" s="7"/>
    </row>
    <row r="17" spans="2:19" ht="15" x14ac:dyDescent="0.3">
      <c r="B17" s="21" t="s">
        <v>12</v>
      </c>
      <c r="C17" s="6"/>
      <c r="D17" s="6"/>
      <c r="E17" s="6"/>
      <c r="F17" s="6"/>
      <c r="G17" s="6"/>
      <c r="H17" s="6"/>
      <c r="I17" s="6"/>
      <c r="J17" s="6"/>
      <c r="K17" s="10"/>
      <c r="L17" s="10"/>
      <c r="M17" s="6"/>
    </row>
    <row r="18" spans="2:19" ht="15" x14ac:dyDescent="0.3">
      <c r="B18" s="40"/>
      <c r="C18" s="10"/>
      <c r="D18" s="10"/>
      <c r="E18" s="41"/>
      <c r="F18" s="10"/>
      <c r="G18" s="10"/>
      <c r="H18" s="10"/>
      <c r="I18" s="10"/>
      <c r="J18" s="10"/>
      <c r="K18" s="10"/>
      <c r="L18" s="10"/>
      <c r="M18" s="6"/>
    </row>
    <row r="19" spans="2:19" ht="15" x14ac:dyDescent="0.3">
      <c r="B19" s="11"/>
      <c r="C19" s="11"/>
      <c r="D19" s="11"/>
      <c r="E19" s="6" t="s">
        <v>1</v>
      </c>
      <c r="F19" s="11"/>
      <c r="G19" s="11"/>
      <c r="H19" s="11"/>
      <c r="I19" s="11"/>
      <c r="J19" s="11"/>
      <c r="K19" s="11"/>
      <c r="L19" s="11" t="s">
        <v>1</v>
      </c>
      <c r="M19" s="11"/>
    </row>
    <row r="20" spans="2:19" ht="15.75" x14ac:dyDescent="0.25">
      <c r="B20" s="31" t="s">
        <v>19</v>
      </c>
      <c r="C20" s="32" t="s">
        <v>5</v>
      </c>
      <c r="D20" s="32" t="s">
        <v>20</v>
      </c>
      <c r="E20" s="149" t="s">
        <v>2</v>
      </c>
      <c r="F20" s="150"/>
      <c r="G20" s="150"/>
      <c r="H20" s="150"/>
      <c r="I20" s="150"/>
      <c r="J20" s="150"/>
      <c r="K20" s="150"/>
      <c r="L20" s="151"/>
      <c r="M20" s="35"/>
    </row>
    <row r="21" spans="2:19" ht="15" customHeight="1" x14ac:dyDescent="0.2">
      <c r="B21" s="22">
        <v>1</v>
      </c>
      <c r="C21" s="28">
        <v>1</v>
      </c>
      <c r="D21" s="14" t="s">
        <v>54</v>
      </c>
      <c r="E21" s="33" t="s">
        <v>125</v>
      </c>
      <c r="F21" s="25"/>
      <c r="G21" s="25"/>
      <c r="H21" s="25"/>
      <c r="I21" s="74"/>
      <c r="J21" s="25"/>
      <c r="K21" s="25"/>
      <c r="L21" s="17"/>
      <c r="M21" s="3"/>
    </row>
    <row r="22" spans="2:19" ht="15" customHeight="1" x14ac:dyDescent="0.3">
      <c r="B22" s="22">
        <f>+B21+1</f>
        <v>2</v>
      </c>
      <c r="C22" s="27"/>
      <c r="D22" s="19"/>
      <c r="E22" s="33"/>
      <c r="F22" s="25"/>
      <c r="G22" s="25"/>
      <c r="H22" s="25"/>
      <c r="I22" s="25"/>
      <c r="J22" s="25"/>
      <c r="K22" s="25"/>
      <c r="L22" s="17"/>
      <c r="M22" s="3"/>
      <c r="O22" s="30"/>
      <c r="P22" s="1"/>
      <c r="Q22" s="6"/>
      <c r="S22" s="3"/>
    </row>
    <row r="23" spans="2:19" ht="15" customHeight="1" x14ac:dyDescent="0.3">
      <c r="B23" s="22">
        <f t="shared" ref="B23:B30" si="0">+B22+1</f>
        <v>3</v>
      </c>
      <c r="C23" s="27"/>
      <c r="D23" s="19"/>
      <c r="E23" s="73"/>
      <c r="F23" s="40"/>
      <c r="G23" s="40"/>
      <c r="H23" s="40"/>
      <c r="I23" s="40"/>
      <c r="J23" s="40"/>
      <c r="K23" s="40"/>
      <c r="L23" s="23"/>
      <c r="M23" s="3"/>
      <c r="O23" s="30"/>
      <c r="P23" s="1"/>
      <c r="Q23" s="6"/>
      <c r="S23" s="3"/>
    </row>
    <row r="24" spans="2:19" ht="15" customHeight="1" x14ac:dyDescent="0.3">
      <c r="B24" s="22">
        <f t="shared" si="0"/>
        <v>4</v>
      </c>
      <c r="C24" s="27"/>
      <c r="D24" s="19"/>
      <c r="E24" s="24"/>
      <c r="F24" s="25"/>
      <c r="G24" s="25"/>
      <c r="H24" s="25"/>
      <c r="I24" s="25"/>
      <c r="J24" s="25"/>
      <c r="K24" s="25"/>
      <c r="L24" s="17"/>
      <c r="M24" s="3"/>
    </row>
    <row r="25" spans="2:19" ht="15" customHeight="1" x14ac:dyDescent="0.3">
      <c r="B25" s="22">
        <f t="shared" si="0"/>
        <v>5</v>
      </c>
      <c r="C25" s="26"/>
      <c r="D25" s="19"/>
      <c r="E25" s="16"/>
      <c r="F25" s="40"/>
      <c r="G25" s="40"/>
      <c r="H25" s="40"/>
      <c r="I25" s="40"/>
      <c r="J25" s="40"/>
      <c r="K25" s="40"/>
      <c r="L25" s="23"/>
      <c r="M25" s="3"/>
    </row>
    <row r="26" spans="2:19" ht="15" customHeight="1" x14ac:dyDescent="0.2">
      <c r="B26" s="22">
        <f t="shared" si="0"/>
        <v>6</v>
      </c>
      <c r="C26" s="26"/>
      <c r="D26" s="19"/>
      <c r="E26" s="38"/>
      <c r="F26" s="29"/>
      <c r="G26" s="29"/>
      <c r="H26" s="29"/>
      <c r="I26" s="29"/>
      <c r="J26" s="29"/>
      <c r="K26" s="29"/>
      <c r="L26" s="17"/>
      <c r="M26" s="3"/>
    </row>
    <row r="27" spans="2:19" ht="15" customHeight="1" x14ac:dyDescent="0.3">
      <c r="B27" s="22">
        <f t="shared" si="0"/>
        <v>7</v>
      </c>
      <c r="C27" s="12"/>
      <c r="D27" s="13"/>
      <c r="E27" s="24"/>
      <c r="F27" s="25"/>
      <c r="G27" s="25"/>
      <c r="H27" s="25"/>
      <c r="I27" s="25"/>
      <c r="J27" s="25"/>
      <c r="K27" s="25"/>
      <c r="L27" s="17"/>
      <c r="M27" s="3"/>
    </row>
    <row r="28" spans="2:19" ht="15" customHeight="1" x14ac:dyDescent="0.3">
      <c r="B28" s="22">
        <f t="shared" si="0"/>
        <v>8</v>
      </c>
      <c r="C28" s="15"/>
      <c r="D28" s="13"/>
      <c r="E28" s="16"/>
      <c r="F28" s="40"/>
      <c r="G28" s="40"/>
      <c r="H28" s="40"/>
      <c r="I28" s="40"/>
      <c r="J28" s="40"/>
      <c r="K28" s="40"/>
      <c r="L28" s="23"/>
      <c r="M28" s="3"/>
    </row>
    <row r="29" spans="2:19" ht="15" customHeight="1" x14ac:dyDescent="0.3">
      <c r="B29" s="22">
        <f t="shared" si="0"/>
        <v>9</v>
      </c>
      <c r="C29" s="15"/>
      <c r="D29" s="13"/>
      <c r="E29" s="24"/>
      <c r="F29" s="25"/>
      <c r="G29" s="25"/>
      <c r="H29" s="25"/>
      <c r="I29" s="25"/>
      <c r="J29" s="25"/>
      <c r="K29" s="25"/>
      <c r="L29" s="17"/>
      <c r="M29" s="3"/>
    </row>
    <row r="30" spans="2:19" ht="15" customHeight="1" x14ac:dyDescent="0.3">
      <c r="B30" s="22">
        <f t="shared" si="0"/>
        <v>10</v>
      </c>
      <c r="C30" s="12"/>
      <c r="D30" s="13"/>
      <c r="E30" s="24"/>
      <c r="F30" s="25"/>
      <c r="G30" s="25"/>
      <c r="H30" s="25"/>
      <c r="I30" s="25"/>
      <c r="J30" s="25"/>
      <c r="K30" s="25"/>
      <c r="L30" s="17"/>
      <c r="M30" s="3"/>
    </row>
    <row r="31" spans="2:19" ht="15" x14ac:dyDescent="0.3">
      <c r="B31" s="2"/>
      <c r="C31" s="2"/>
      <c r="D31" s="2"/>
      <c r="E31" s="6"/>
      <c r="F31" s="3"/>
      <c r="G31" s="3"/>
      <c r="H31" s="3"/>
      <c r="I31" s="3"/>
      <c r="J31" s="3"/>
      <c r="K31" s="3"/>
      <c r="L31" s="3"/>
      <c r="M31" s="3"/>
    </row>
    <row r="32" spans="2:19" ht="15.75" thickBot="1" x14ac:dyDescent="0.35">
      <c r="B32" s="5" t="s">
        <v>13</v>
      </c>
      <c r="C32" s="2"/>
      <c r="D32" s="36"/>
      <c r="E32" s="6"/>
      <c r="F32" s="3"/>
      <c r="G32" s="3"/>
      <c r="H32" s="3"/>
      <c r="I32" s="3"/>
      <c r="J32" s="3"/>
      <c r="K32" s="3"/>
      <c r="L32" s="3"/>
      <c r="M32" s="3"/>
    </row>
    <row r="33" spans="2:13" ht="15.75" thickBot="1" x14ac:dyDescent="0.35">
      <c r="B33" s="42" t="s">
        <v>14</v>
      </c>
      <c r="C33" s="43"/>
      <c r="D33" s="152">
        <v>311401</v>
      </c>
      <c r="E33" s="153"/>
      <c r="F33" s="6"/>
      <c r="G33" s="6"/>
      <c r="H33" s="6"/>
      <c r="I33" s="10"/>
      <c r="J33" s="10"/>
      <c r="K33" s="10"/>
      <c r="L33" s="39"/>
      <c r="M33" s="18"/>
    </row>
    <row r="34" spans="2:13" ht="15" x14ac:dyDescent="0.3">
      <c r="B34" s="2"/>
      <c r="C34" s="2"/>
      <c r="D34" s="36"/>
      <c r="E34" s="2"/>
      <c r="F34" s="6"/>
      <c r="G34" s="6"/>
      <c r="H34" s="6"/>
      <c r="I34" s="154" t="s">
        <v>16</v>
      </c>
      <c r="J34" s="154"/>
      <c r="K34" s="154"/>
      <c r="L34" s="154"/>
      <c r="M34" s="2"/>
    </row>
    <row r="35" spans="2:13" ht="15" x14ac:dyDescent="0.3">
      <c r="B35" s="2"/>
      <c r="C35" s="2"/>
      <c r="D35" s="36"/>
      <c r="E35" s="2"/>
      <c r="F35" s="6"/>
      <c r="G35" s="6"/>
      <c r="H35" s="6"/>
      <c r="I35" s="54"/>
      <c r="J35" s="54"/>
      <c r="K35" s="54"/>
      <c r="L35" s="54"/>
      <c r="M35" s="2"/>
    </row>
    <row r="36" spans="2:13" ht="15" x14ac:dyDescent="0.3">
      <c r="B36" s="2"/>
      <c r="C36" s="2"/>
      <c r="D36" s="36"/>
      <c r="E36" s="2"/>
      <c r="F36" s="6"/>
      <c r="G36" s="6"/>
      <c r="H36" s="6"/>
      <c r="I36" s="54"/>
      <c r="J36" s="54"/>
      <c r="K36" s="54"/>
      <c r="L36" s="54"/>
      <c r="M36" s="2"/>
    </row>
    <row r="37" spans="2:13" x14ac:dyDescent="0.2">
      <c r="B37" s="2"/>
      <c r="C37" s="2"/>
      <c r="D37" s="36"/>
      <c r="E37" s="2"/>
      <c r="F37" s="2"/>
      <c r="G37" s="2"/>
      <c r="H37" s="2"/>
      <c r="I37" s="2"/>
      <c r="J37" s="2"/>
      <c r="K37" s="2"/>
      <c r="L37" s="4"/>
      <c r="M37" s="4"/>
    </row>
    <row r="38" spans="2:13" x14ac:dyDescent="0.2">
      <c r="B38" s="2"/>
      <c r="C38" s="2"/>
      <c r="D38" s="36"/>
      <c r="E38" s="2"/>
      <c r="F38" s="2"/>
      <c r="G38" s="7"/>
      <c r="H38" s="7"/>
      <c r="I38" s="148" t="s">
        <v>17</v>
      </c>
      <c r="J38" s="148"/>
      <c r="K38" s="148"/>
      <c r="L38" s="148"/>
      <c r="M38" s="4"/>
    </row>
    <row r="39" spans="2:13" x14ac:dyDescent="0.2">
      <c r="B39" s="2"/>
      <c r="C39" s="2"/>
      <c r="D39" s="36"/>
      <c r="E39" s="2"/>
      <c r="F39" s="2"/>
      <c r="G39" s="7"/>
      <c r="H39" s="7"/>
      <c r="I39" s="52"/>
      <c r="J39" s="52"/>
      <c r="K39" s="52"/>
      <c r="L39" s="52"/>
      <c r="M39" s="4"/>
    </row>
    <row r="40" spans="2:13" x14ac:dyDescent="0.2">
      <c r="B40" s="2"/>
      <c r="C40" s="2"/>
      <c r="D40" s="36"/>
      <c r="E40" s="2"/>
      <c r="F40" s="2"/>
      <c r="G40" s="7"/>
      <c r="H40" s="7"/>
      <c r="I40" s="52"/>
      <c r="J40" s="52"/>
      <c r="K40" s="52"/>
      <c r="L40" s="52"/>
      <c r="M40" s="4"/>
    </row>
    <row r="41" spans="2:13" x14ac:dyDescent="0.2">
      <c r="B41" s="2"/>
      <c r="C41" s="2"/>
      <c r="D41" s="2"/>
      <c r="E41" s="7"/>
      <c r="F41" s="7"/>
      <c r="G41" s="7"/>
      <c r="H41" s="7"/>
      <c r="I41" s="148"/>
      <c r="J41" s="148"/>
      <c r="K41" s="148"/>
      <c r="L41" s="148"/>
      <c r="M41" s="4"/>
    </row>
    <row r="42" spans="2:13" ht="13.5" thickBot="1" x14ac:dyDescent="0.25">
      <c r="B42" s="2"/>
      <c r="C42" s="147"/>
      <c r="D42" s="147"/>
      <c r="E42" s="147"/>
      <c r="F42" s="147"/>
      <c r="G42" s="7"/>
      <c r="H42" s="7"/>
      <c r="I42" s="56"/>
      <c r="J42" s="56"/>
      <c r="K42" s="56"/>
      <c r="L42" s="57"/>
      <c r="M42" s="4"/>
    </row>
    <row r="43" spans="2:13" x14ac:dyDescent="0.2">
      <c r="B43" s="2"/>
      <c r="C43" s="148" t="s">
        <v>85</v>
      </c>
      <c r="D43" s="148"/>
      <c r="E43" s="148"/>
      <c r="F43" s="148"/>
      <c r="G43" s="7"/>
      <c r="H43" s="7"/>
      <c r="I43" s="148" t="s">
        <v>86</v>
      </c>
      <c r="J43" s="148"/>
      <c r="K43" s="148"/>
      <c r="L43" s="148"/>
      <c r="M43" s="4"/>
    </row>
    <row r="44" spans="2:13" x14ac:dyDescent="0.2">
      <c r="B44" s="2"/>
      <c r="C44" s="148" t="s">
        <v>6</v>
      </c>
      <c r="D44" s="148"/>
      <c r="E44" s="148"/>
      <c r="F44" s="148"/>
      <c r="G44" s="2"/>
      <c r="H44" s="2"/>
      <c r="I44" s="148" t="s">
        <v>87</v>
      </c>
      <c r="J44" s="148"/>
      <c r="K44" s="148"/>
      <c r="L44" s="148"/>
      <c r="M44" s="4"/>
    </row>
    <row r="45" spans="2:13" x14ac:dyDescent="0.2">
      <c r="B45" s="2"/>
      <c r="C45" s="148" t="s">
        <v>21</v>
      </c>
      <c r="D45" s="148"/>
      <c r="E45" s="148"/>
      <c r="F45" s="148"/>
      <c r="G45" s="7"/>
      <c r="H45" s="7"/>
      <c r="I45" s="148" t="s">
        <v>15</v>
      </c>
      <c r="J45" s="148"/>
      <c r="K45" s="148"/>
      <c r="L45" s="148"/>
      <c r="M45" s="4"/>
    </row>
    <row r="46" spans="2:13" x14ac:dyDescent="0.2">
      <c r="B46" s="2"/>
      <c r="C46" s="148"/>
      <c r="D46" s="148"/>
      <c r="E46" s="148"/>
      <c r="F46" s="148"/>
      <c r="G46" s="7"/>
      <c r="H46" s="7"/>
      <c r="I46" s="148"/>
      <c r="J46" s="148"/>
      <c r="K46" s="148"/>
      <c r="L46" s="148"/>
      <c r="M46" s="4"/>
    </row>
    <row r="47" spans="2:13" x14ac:dyDescent="0.2">
      <c r="B47" s="2"/>
      <c r="C47" s="148"/>
      <c r="D47" s="148"/>
      <c r="E47" s="148"/>
      <c r="F47" s="148"/>
      <c r="G47" s="7"/>
      <c r="H47" s="7"/>
      <c r="I47" s="148"/>
      <c r="J47" s="148"/>
      <c r="K47" s="148"/>
      <c r="L47" s="148"/>
      <c r="M47" s="4"/>
    </row>
    <row r="48" spans="2:13" x14ac:dyDescent="0.2">
      <c r="B48" s="44" t="s">
        <v>3</v>
      </c>
      <c r="C48" s="45"/>
      <c r="D48" s="45"/>
      <c r="E48" s="45"/>
      <c r="F48" s="45"/>
      <c r="G48" s="45"/>
      <c r="L48" s="2"/>
      <c r="M48" s="2"/>
    </row>
    <row r="49" spans="2:13" x14ac:dyDescent="0.2">
      <c r="B49" s="44" t="s">
        <v>4</v>
      </c>
      <c r="C49" s="45"/>
      <c r="D49" s="45"/>
      <c r="E49" s="45"/>
      <c r="F49" s="45"/>
      <c r="G49" s="45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8" t="s">
        <v>1</v>
      </c>
      <c r="G51" s="8"/>
      <c r="H51" s="8"/>
      <c r="I51" s="8"/>
      <c r="J51" s="8"/>
      <c r="K51" s="8"/>
      <c r="L51" s="2"/>
      <c r="M51" s="2"/>
    </row>
  </sheetData>
  <mergeCells count="21">
    <mergeCell ref="A1:D1"/>
    <mergeCell ref="A2:D2"/>
    <mergeCell ref="A3:D3"/>
    <mergeCell ref="A4:D4"/>
    <mergeCell ref="B5:L5"/>
    <mergeCell ref="E20:L20"/>
    <mergeCell ref="D33:E33"/>
    <mergeCell ref="I34:L34"/>
    <mergeCell ref="I38:L38"/>
    <mergeCell ref="I41:L41"/>
    <mergeCell ref="C42:F42"/>
    <mergeCell ref="C43:F43"/>
    <mergeCell ref="I43:L43"/>
    <mergeCell ref="C47:F47"/>
    <mergeCell ref="I47:L47"/>
    <mergeCell ref="C44:F44"/>
    <mergeCell ref="I44:L44"/>
    <mergeCell ref="C45:F45"/>
    <mergeCell ref="I45:L45"/>
    <mergeCell ref="C46:F46"/>
    <mergeCell ref="I46:L46"/>
  </mergeCells>
  <pageMargins left="0.39370078740157483" right="0.19685039370078741" top="0.51181102362204722" bottom="0.59055118110236227" header="0" footer="0"/>
  <pageSetup scale="88" orientation="portrait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3"/>
  <dimension ref="A1:S51"/>
  <sheetViews>
    <sheetView topLeftCell="A4" workbookViewId="0">
      <selection activeCell="K16" sqref="K16"/>
    </sheetView>
  </sheetViews>
  <sheetFormatPr baseColWidth="10" defaultRowHeight="12.75" x14ac:dyDescent="0.2"/>
  <cols>
    <col min="1" max="1" width="5" customWidth="1"/>
    <col min="2" max="2" width="7.42578125" customWidth="1"/>
    <col min="3" max="3" width="6.85546875" customWidth="1"/>
    <col min="4" max="4" width="9.140625" customWidth="1"/>
    <col min="5" max="5" width="11.7109375" customWidth="1"/>
    <col min="6" max="9" width="8.28515625" customWidth="1"/>
    <col min="10" max="10" width="4.5703125" customWidth="1"/>
    <col min="11" max="11" width="8.28515625" customWidth="1"/>
    <col min="12" max="12" width="12" customWidth="1"/>
    <col min="13" max="13" width="10.85546875" customWidth="1"/>
  </cols>
  <sheetData>
    <row r="1" spans="1:13" x14ac:dyDescent="0.2">
      <c r="A1" s="155" t="s">
        <v>0</v>
      </c>
      <c r="B1" s="155"/>
      <c r="C1" s="155"/>
      <c r="D1" s="155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56" t="s">
        <v>8</v>
      </c>
      <c r="B2" s="156"/>
      <c r="C2" s="156"/>
      <c r="D2" s="156"/>
      <c r="E2" s="2"/>
      <c r="F2" s="2"/>
      <c r="G2" s="2"/>
      <c r="H2" s="2"/>
      <c r="I2" s="2"/>
      <c r="J2" s="2"/>
      <c r="K2" s="2"/>
      <c r="L2" s="21"/>
      <c r="M2" s="21"/>
    </row>
    <row r="3" spans="1:13" ht="15.75" x14ac:dyDescent="0.25">
      <c r="A3" s="156" t="s">
        <v>7</v>
      </c>
      <c r="B3" s="156"/>
      <c r="C3" s="156"/>
      <c r="D3" s="156"/>
      <c r="E3" s="2"/>
      <c r="F3" s="2"/>
      <c r="G3" s="2"/>
      <c r="H3" s="21"/>
      <c r="I3" s="21"/>
      <c r="J3" s="21"/>
      <c r="K3" s="37"/>
      <c r="L3" s="37"/>
      <c r="M3" s="21"/>
    </row>
    <row r="4" spans="1:13" ht="13.5" customHeight="1" x14ac:dyDescent="0.3">
      <c r="A4" s="155"/>
      <c r="B4" s="155"/>
      <c r="C4" s="155"/>
      <c r="D4" s="155"/>
      <c r="E4" s="2"/>
      <c r="F4" s="6"/>
      <c r="G4" s="6"/>
      <c r="H4" s="6"/>
      <c r="I4" s="6"/>
      <c r="J4" s="6"/>
      <c r="K4" s="6"/>
      <c r="L4" s="7"/>
      <c r="M4" s="7"/>
    </row>
    <row r="5" spans="1:13" ht="18" x14ac:dyDescent="0.25">
      <c r="B5" s="157" t="s">
        <v>10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34"/>
    </row>
    <row r="6" spans="1:13" ht="13.5" thickBo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B7" s="2"/>
      <c r="C7" s="2"/>
      <c r="D7" s="2"/>
      <c r="E7" s="2"/>
      <c r="F7" s="2"/>
      <c r="G7" s="2"/>
      <c r="H7" s="46" t="s">
        <v>11</v>
      </c>
      <c r="I7" s="48"/>
      <c r="J7" s="47"/>
      <c r="K7" s="53" t="s">
        <v>120</v>
      </c>
      <c r="L7" s="48"/>
      <c r="M7" s="2"/>
    </row>
    <row r="8" spans="1:13" ht="12.75" customHeight="1" thickBot="1" x14ac:dyDescent="0.25">
      <c r="B8" s="2"/>
      <c r="C8" s="2"/>
      <c r="D8" s="2"/>
      <c r="E8" s="2"/>
      <c r="F8" s="2"/>
      <c r="G8" s="2"/>
      <c r="H8" s="49"/>
      <c r="I8" s="51"/>
      <c r="J8" s="50"/>
      <c r="K8" s="50"/>
      <c r="L8" s="51"/>
      <c r="M8" s="2"/>
    </row>
    <row r="9" spans="1:13" x14ac:dyDescent="0.2">
      <c r="B9" s="5" t="s">
        <v>119</v>
      </c>
      <c r="C9" s="2"/>
      <c r="D9" s="2"/>
      <c r="E9" s="2"/>
      <c r="F9" s="2"/>
      <c r="G9" s="5"/>
      <c r="H9" s="5"/>
      <c r="I9" s="5"/>
      <c r="J9" s="5"/>
      <c r="K9" s="5"/>
      <c r="L9" s="5"/>
      <c r="M9" s="2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x14ac:dyDescent="0.3">
      <c r="B11" s="21" t="s">
        <v>18</v>
      </c>
      <c r="C11" s="6"/>
      <c r="D11" s="21"/>
      <c r="E11" s="6"/>
      <c r="F11" s="6"/>
      <c r="G11" s="21"/>
      <c r="H11" s="6"/>
      <c r="I11" s="6"/>
      <c r="J11" s="6"/>
      <c r="K11" s="6"/>
      <c r="L11" s="6"/>
      <c r="M11" s="6"/>
    </row>
    <row r="12" spans="1:13" ht="15" x14ac:dyDescent="0.3">
      <c r="B12" s="21"/>
      <c r="C12" s="6"/>
      <c r="D12" s="6"/>
      <c r="E12" s="6"/>
      <c r="F12" s="6"/>
      <c r="G12" s="21"/>
      <c r="H12" s="6"/>
      <c r="I12" s="6"/>
      <c r="J12" s="6"/>
      <c r="K12" s="6"/>
      <c r="L12" s="6"/>
      <c r="M12" s="6"/>
    </row>
    <row r="13" spans="1:13" ht="15" x14ac:dyDescent="0.3">
      <c r="B13" s="20" t="s">
        <v>9</v>
      </c>
      <c r="C13" s="21"/>
      <c r="D13" s="6" t="s">
        <v>83</v>
      </c>
      <c r="E13" s="9"/>
      <c r="F13" s="6"/>
      <c r="G13" s="6"/>
      <c r="H13" s="6"/>
      <c r="I13" s="6"/>
      <c r="J13" s="6"/>
      <c r="K13" s="6"/>
      <c r="L13" s="6"/>
      <c r="M13" s="6"/>
    </row>
    <row r="14" spans="1:13" ht="15" x14ac:dyDescent="0.3">
      <c r="B14" s="20"/>
      <c r="C14" s="6"/>
      <c r="D14" s="6"/>
      <c r="E14" s="9"/>
      <c r="F14" s="6"/>
      <c r="G14" s="6"/>
      <c r="H14" s="6"/>
      <c r="I14" s="6"/>
      <c r="J14" s="6"/>
      <c r="K14" s="6"/>
      <c r="L14" s="6"/>
      <c r="M14" s="6"/>
    </row>
    <row r="15" spans="1:13" ht="15" x14ac:dyDescent="0.3">
      <c r="B15" s="20" t="s">
        <v>33</v>
      </c>
      <c r="C15" s="6"/>
      <c r="D15" s="6" t="s">
        <v>84</v>
      </c>
      <c r="E15" s="9"/>
      <c r="F15" s="21"/>
      <c r="G15" s="21"/>
      <c r="H15" s="21"/>
      <c r="I15" s="21"/>
      <c r="J15" s="21"/>
      <c r="K15" s="21"/>
      <c r="L15" s="7"/>
      <c r="M15" s="7"/>
    </row>
    <row r="16" spans="1:13" ht="15" x14ac:dyDescent="0.3">
      <c r="B16" s="20"/>
      <c r="C16" s="6"/>
      <c r="D16" s="6"/>
      <c r="E16" s="9"/>
      <c r="F16" s="21"/>
      <c r="G16" s="21"/>
      <c r="H16" s="21"/>
      <c r="I16" s="21"/>
      <c r="J16" s="21"/>
      <c r="K16" s="21"/>
      <c r="L16" s="7"/>
      <c r="M16" s="7"/>
    </row>
    <row r="17" spans="2:19" ht="15" x14ac:dyDescent="0.3">
      <c r="B17" s="21" t="s">
        <v>12</v>
      </c>
      <c r="C17" s="6"/>
      <c r="D17" s="6"/>
      <c r="E17" s="6"/>
      <c r="F17" s="6"/>
      <c r="G17" s="6"/>
      <c r="H17" s="6"/>
      <c r="I17" s="6"/>
      <c r="J17" s="6"/>
      <c r="K17" s="10"/>
      <c r="L17" s="10"/>
      <c r="M17" s="6"/>
    </row>
    <row r="18" spans="2:19" ht="15" x14ac:dyDescent="0.3">
      <c r="B18" s="40"/>
      <c r="C18" s="10"/>
      <c r="D18" s="10"/>
      <c r="E18" s="41"/>
      <c r="F18" s="10"/>
      <c r="G18" s="10"/>
      <c r="H18" s="10"/>
      <c r="I18" s="10"/>
      <c r="J18" s="10"/>
      <c r="K18" s="10"/>
      <c r="L18" s="10"/>
      <c r="M18" s="6"/>
    </row>
    <row r="19" spans="2:19" ht="15" x14ac:dyDescent="0.3">
      <c r="B19" s="11"/>
      <c r="C19" s="11"/>
      <c r="D19" s="11"/>
      <c r="E19" s="6" t="s">
        <v>1</v>
      </c>
      <c r="F19" s="11"/>
      <c r="G19" s="11"/>
      <c r="H19" s="11"/>
      <c r="I19" s="11"/>
      <c r="J19" s="11"/>
      <c r="K19" s="11"/>
      <c r="L19" s="11" t="s">
        <v>1</v>
      </c>
      <c r="M19" s="11"/>
    </row>
    <row r="20" spans="2:19" ht="15.75" x14ac:dyDescent="0.25">
      <c r="B20" s="31" t="s">
        <v>19</v>
      </c>
      <c r="C20" s="32" t="s">
        <v>5</v>
      </c>
      <c r="D20" s="32" t="s">
        <v>20</v>
      </c>
      <c r="E20" s="149" t="s">
        <v>2</v>
      </c>
      <c r="F20" s="150"/>
      <c r="G20" s="150"/>
      <c r="H20" s="150"/>
      <c r="I20" s="150"/>
      <c r="J20" s="150"/>
      <c r="K20" s="150"/>
      <c r="L20" s="151"/>
      <c r="M20" s="35"/>
    </row>
    <row r="21" spans="2:19" ht="15" customHeight="1" x14ac:dyDescent="0.2">
      <c r="B21" s="22">
        <v>1</v>
      </c>
      <c r="C21" s="71">
        <v>300</v>
      </c>
      <c r="D21" s="14" t="s">
        <v>54</v>
      </c>
      <c r="E21" s="33" t="s">
        <v>92</v>
      </c>
      <c r="F21" s="25"/>
      <c r="G21" s="25"/>
      <c r="H21" s="25"/>
      <c r="I21" s="25"/>
      <c r="J21" s="25"/>
      <c r="K21" s="25"/>
      <c r="L21" s="17"/>
      <c r="M21" s="3"/>
    </row>
    <row r="22" spans="2:19" ht="15" customHeight="1" x14ac:dyDescent="0.3">
      <c r="B22" s="22">
        <f>+B21+1</f>
        <v>2</v>
      </c>
      <c r="C22" s="27"/>
      <c r="D22" s="19"/>
      <c r="E22" s="24" t="s">
        <v>121</v>
      </c>
      <c r="F22" s="25"/>
      <c r="G22" s="25"/>
      <c r="H22" s="25"/>
      <c r="I22" s="25"/>
      <c r="J22" s="25"/>
      <c r="K22" s="25"/>
      <c r="L22" s="17"/>
      <c r="M22" s="3"/>
      <c r="O22" s="30"/>
      <c r="P22" s="1"/>
      <c r="Q22" s="6"/>
      <c r="S22" s="3"/>
    </row>
    <row r="23" spans="2:19" ht="15" customHeight="1" x14ac:dyDescent="0.3">
      <c r="B23" s="22">
        <f t="shared" ref="B23:B30" si="0">+B22+1</f>
        <v>3</v>
      </c>
      <c r="C23" s="27"/>
      <c r="D23" s="19"/>
      <c r="E23" s="16" t="s">
        <v>93</v>
      </c>
      <c r="F23" s="40"/>
      <c r="G23" s="40"/>
      <c r="H23" s="40"/>
      <c r="I23" s="40"/>
      <c r="J23" s="40"/>
      <c r="K23" s="40"/>
      <c r="L23" s="23"/>
      <c r="M23" s="3"/>
      <c r="O23" s="30"/>
      <c r="P23" s="1"/>
      <c r="Q23" s="6"/>
      <c r="S23" s="3"/>
    </row>
    <row r="24" spans="2:19" ht="15" customHeight="1" x14ac:dyDescent="0.3">
      <c r="B24" s="22">
        <f t="shared" si="0"/>
        <v>4</v>
      </c>
      <c r="C24" s="27"/>
      <c r="D24" s="19"/>
      <c r="E24" s="24"/>
      <c r="F24" s="25"/>
      <c r="G24" s="25"/>
      <c r="H24" s="25"/>
      <c r="I24" s="25"/>
      <c r="J24" s="25"/>
      <c r="K24" s="25"/>
      <c r="L24" s="17"/>
      <c r="M24" s="3"/>
    </row>
    <row r="25" spans="2:19" ht="15" customHeight="1" x14ac:dyDescent="0.3">
      <c r="B25" s="22">
        <f t="shared" si="0"/>
        <v>5</v>
      </c>
      <c r="C25" s="26"/>
      <c r="D25" s="19"/>
      <c r="E25" s="16"/>
      <c r="F25" s="40"/>
      <c r="G25" s="40"/>
      <c r="H25" s="40"/>
      <c r="I25" s="40"/>
      <c r="J25" s="40"/>
      <c r="K25" s="40"/>
      <c r="L25" s="23"/>
      <c r="M25" s="3"/>
    </row>
    <row r="26" spans="2:19" ht="15" customHeight="1" x14ac:dyDescent="0.2">
      <c r="B26" s="22">
        <f t="shared" si="0"/>
        <v>6</v>
      </c>
      <c r="C26" s="26"/>
      <c r="D26" s="19"/>
      <c r="E26" s="38"/>
      <c r="F26" s="29"/>
      <c r="G26" s="29"/>
      <c r="H26" s="29"/>
      <c r="I26" s="29"/>
      <c r="J26" s="29"/>
      <c r="K26" s="29"/>
      <c r="L26" s="17"/>
      <c r="M26" s="3"/>
    </row>
    <row r="27" spans="2:19" ht="15" customHeight="1" x14ac:dyDescent="0.3">
      <c r="B27" s="22">
        <f t="shared" si="0"/>
        <v>7</v>
      </c>
      <c r="C27" s="12"/>
      <c r="D27" s="13"/>
      <c r="E27" s="24"/>
      <c r="F27" s="25"/>
      <c r="G27" s="25"/>
      <c r="H27" s="25"/>
      <c r="I27" s="25"/>
      <c r="J27" s="25"/>
      <c r="K27" s="25"/>
      <c r="L27" s="17"/>
      <c r="M27" s="3"/>
    </row>
    <row r="28" spans="2:19" ht="15" customHeight="1" x14ac:dyDescent="0.3">
      <c r="B28" s="22">
        <f t="shared" si="0"/>
        <v>8</v>
      </c>
      <c r="C28" s="15"/>
      <c r="D28" s="13"/>
      <c r="E28" s="16"/>
      <c r="F28" s="40"/>
      <c r="G28" s="40"/>
      <c r="H28" s="40"/>
      <c r="I28" s="40"/>
      <c r="J28" s="40"/>
      <c r="K28" s="40"/>
      <c r="L28" s="23"/>
      <c r="M28" s="3"/>
    </row>
    <row r="29" spans="2:19" ht="15" customHeight="1" x14ac:dyDescent="0.3">
      <c r="B29" s="22">
        <f t="shared" si="0"/>
        <v>9</v>
      </c>
      <c r="C29" s="15"/>
      <c r="D29" s="13"/>
      <c r="E29" s="24"/>
      <c r="F29" s="25"/>
      <c r="G29" s="25"/>
      <c r="H29" s="25"/>
      <c r="I29" s="25"/>
      <c r="J29" s="25"/>
      <c r="K29" s="25"/>
      <c r="L29" s="17"/>
      <c r="M29" s="3"/>
    </row>
    <row r="30" spans="2:19" ht="15" customHeight="1" x14ac:dyDescent="0.3">
      <c r="B30" s="22">
        <f t="shared" si="0"/>
        <v>10</v>
      </c>
      <c r="C30" s="12"/>
      <c r="D30" s="13"/>
      <c r="E30" s="24"/>
      <c r="F30" s="25"/>
      <c r="G30" s="25"/>
      <c r="H30" s="25"/>
      <c r="I30" s="25"/>
      <c r="J30" s="25"/>
      <c r="K30" s="25"/>
      <c r="L30" s="17"/>
      <c r="M30" s="3"/>
    </row>
    <row r="31" spans="2:19" ht="15" x14ac:dyDescent="0.3">
      <c r="B31" s="2"/>
      <c r="C31" s="2"/>
      <c r="D31" s="2"/>
      <c r="E31" s="6"/>
      <c r="F31" s="3"/>
      <c r="G31" s="3"/>
      <c r="H31" s="3"/>
      <c r="I31" s="3"/>
      <c r="J31" s="3"/>
      <c r="K31" s="3"/>
      <c r="L31" s="3"/>
      <c r="M31" s="3"/>
    </row>
    <row r="32" spans="2:19" ht="15.75" thickBot="1" x14ac:dyDescent="0.35">
      <c r="B32" s="5" t="s">
        <v>13</v>
      </c>
      <c r="C32" s="2"/>
      <c r="D32" s="36"/>
      <c r="E32" s="6"/>
      <c r="F32" s="3"/>
      <c r="G32" s="3"/>
      <c r="H32" s="3"/>
      <c r="I32" s="3"/>
      <c r="J32" s="3"/>
      <c r="K32" s="3"/>
      <c r="L32" s="3"/>
      <c r="M32" s="3"/>
    </row>
    <row r="33" spans="2:13" ht="15.75" thickBot="1" x14ac:dyDescent="0.35">
      <c r="B33" s="42" t="s">
        <v>14</v>
      </c>
      <c r="C33" s="43"/>
      <c r="D33" s="152">
        <v>311401</v>
      </c>
      <c r="E33" s="153"/>
      <c r="F33" s="6"/>
      <c r="G33" s="6"/>
      <c r="H33" s="6"/>
      <c r="I33" s="10"/>
      <c r="J33" s="10"/>
      <c r="K33" s="10"/>
      <c r="L33" s="39"/>
      <c r="M33" s="18"/>
    </row>
    <row r="34" spans="2:13" ht="15" x14ac:dyDescent="0.3">
      <c r="B34" s="2"/>
      <c r="C34" s="2"/>
      <c r="D34" s="36"/>
      <c r="E34" s="2"/>
      <c r="F34" s="6"/>
      <c r="G34" s="6"/>
      <c r="H34" s="6"/>
      <c r="I34" s="154" t="s">
        <v>16</v>
      </c>
      <c r="J34" s="154"/>
      <c r="K34" s="154"/>
      <c r="L34" s="154"/>
      <c r="M34" s="2"/>
    </row>
    <row r="35" spans="2:13" ht="15" x14ac:dyDescent="0.3">
      <c r="B35" s="2"/>
      <c r="C35" s="2"/>
      <c r="D35" s="36"/>
      <c r="E35" s="2"/>
      <c r="F35" s="6"/>
      <c r="G35" s="6"/>
      <c r="H35" s="6"/>
      <c r="I35" s="54"/>
      <c r="J35" s="54"/>
      <c r="K35" s="54"/>
      <c r="L35" s="54"/>
      <c r="M35" s="2"/>
    </row>
    <row r="36" spans="2:13" ht="15" x14ac:dyDescent="0.3">
      <c r="B36" s="2"/>
      <c r="C36" s="2"/>
      <c r="D36" s="36"/>
      <c r="E36" s="2"/>
      <c r="F36" s="6"/>
      <c r="G36" s="6"/>
      <c r="H36" s="6"/>
      <c r="I36" s="54"/>
      <c r="J36" s="54"/>
      <c r="K36" s="54"/>
      <c r="L36" s="54"/>
      <c r="M36" s="2"/>
    </row>
    <row r="37" spans="2:13" x14ac:dyDescent="0.2">
      <c r="B37" s="2"/>
      <c r="C37" s="2"/>
      <c r="D37" s="36"/>
      <c r="E37" s="2"/>
      <c r="F37" s="2"/>
      <c r="G37" s="2"/>
      <c r="H37" s="2"/>
      <c r="I37" s="2"/>
      <c r="J37" s="2"/>
      <c r="K37" s="2"/>
      <c r="L37" s="4"/>
      <c r="M37" s="4"/>
    </row>
    <row r="38" spans="2:13" x14ac:dyDescent="0.2">
      <c r="B38" s="2"/>
      <c r="C38" s="2"/>
      <c r="D38" s="36"/>
      <c r="E38" s="2"/>
      <c r="F38" s="2"/>
      <c r="G38" s="7"/>
      <c r="H38" s="7"/>
      <c r="I38" s="148" t="s">
        <v>17</v>
      </c>
      <c r="J38" s="148"/>
      <c r="K38" s="148"/>
      <c r="L38" s="148"/>
      <c r="M38" s="4"/>
    </row>
    <row r="39" spans="2:13" x14ac:dyDescent="0.2">
      <c r="B39" s="2"/>
      <c r="C39" s="2"/>
      <c r="D39" s="36"/>
      <c r="E39" s="2"/>
      <c r="F39" s="2"/>
      <c r="G39" s="7"/>
      <c r="H39" s="7"/>
      <c r="I39" s="52"/>
      <c r="J39" s="52"/>
      <c r="K39" s="52"/>
      <c r="L39" s="52"/>
      <c r="M39" s="4"/>
    </row>
    <row r="40" spans="2:13" x14ac:dyDescent="0.2">
      <c r="B40" s="2"/>
      <c r="C40" s="2"/>
      <c r="D40" s="36"/>
      <c r="E40" s="2"/>
      <c r="F40" s="2"/>
      <c r="G40" s="7"/>
      <c r="H40" s="7"/>
      <c r="I40" s="52"/>
      <c r="J40" s="52"/>
      <c r="K40" s="52"/>
      <c r="L40" s="52"/>
      <c r="M40" s="4"/>
    </row>
    <row r="41" spans="2:13" x14ac:dyDescent="0.2">
      <c r="B41" s="2"/>
      <c r="C41" s="2"/>
      <c r="D41" s="2"/>
      <c r="E41" s="7"/>
      <c r="F41" s="7"/>
      <c r="G41" s="7"/>
      <c r="H41" s="7"/>
      <c r="I41" s="148"/>
      <c r="J41" s="148"/>
      <c r="K41" s="148"/>
      <c r="L41" s="148"/>
      <c r="M41" s="4"/>
    </row>
    <row r="42" spans="2:13" ht="13.5" thickBot="1" x14ac:dyDescent="0.25">
      <c r="B42" s="2"/>
      <c r="C42" s="147"/>
      <c r="D42" s="147"/>
      <c r="E42" s="147"/>
      <c r="F42" s="147"/>
      <c r="G42" s="7"/>
      <c r="H42" s="7"/>
      <c r="I42" s="56"/>
      <c r="J42" s="56"/>
      <c r="K42" s="56"/>
      <c r="L42" s="57"/>
      <c r="M42" s="4"/>
    </row>
    <row r="43" spans="2:13" x14ac:dyDescent="0.2">
      <c r="B43" s="2"/>
      <c r="C43" s="148" t="s">
        <v>85</v>
      </c>
      <c r="D43" s="148"/>
      <c r="E43" s="148"/>
      <c r="F43" s="148"/>
      <c r="G43" s="7"/>
      <c r="H43" s="7"/>
      <c r="I43" s="148" t="s">
        <v>86</v>
      </c>
      <c r="J43" s="148"/>
      <c r="K43" s="148"/>
      <c r="L43" s="148"/>
      <c r="M43" s="4"/>
    </row>
    <row r="44" spans="2:13" x14ac:dyDescent="0.2">
      <c r="B44" s="2"/>
      <c r="C44" s="148" t="s">
        <v>6</v>
      </c>
      <c r="D44" s="148"/>
      <c r="E44" s="148"/>
      <c r="F44" s="148"/>
      <c r="G44" s="2"/>
      <c r="H44" s="2"/>
      <c r="I44" s="148" t="s">
        <v>87</v>
      </c>
      <c r="J44" s="148"/>
      <c r="K44" s="148"/>
      <c r="L44" s="148"/>
      <c r="M44" s="4"/>
    </row>
    <row r="45" spans="2:13" x14ac:dyDescent="0.2">
      <c r="B45" s="2"/>
      <c r="C45" s="148" t="s">
        <v>21</v>
      </c>
      <c r="D45" s="148"/>
      <c r="E45" s="148"/>
      <c r="F45" s="148"/>
      <c r="G45" s="7"/>
      <c r="H45" s="7"/>
      <c r="I45" s="148" t="s">
        <v>15</v>
      </c>
      <c r="J45" s="148"/>
      <c r="K45" s="148"/>
      <c r="L45" s="148"/>
      <c r="M45" s="4"/>
    </row>
    <row r="46" spans="2:13" x14ac:dyDescent="0.2">
      <c r="B46" s="2"/>
      <c r="C46" s="148"/>
      <c r="D46" s="148"/>
      <c r="E46" s="148"/>
      <c r="F46" s="148"/>
      <c r="G46" s="7"/>
      <c r="H46" s="7"/>
      <c r="I46" s="148"/>
      <c r="J46" s="148"/>
      <c r="K46" s="148"/>
      <c r="L46" s="148"/>
      <c r="M46" s="4"/>
    </row>
    <row r="47" spans="2:13" x14ac:dyDescent="0.2">
      <c r="B47" s="2"/>
      <c r="C47" s="148"/>
      <c r="D47" s="148"/>
      <c r="E47" s="148"/>
      <c r="F47" s="148"/>
      <c r="G47" s="7"/>
      <c r="H47" s="7"/>
      <c r="I47" s="148"/>
      <c r="J47" s="148"/>
      <c r="K47" s="148"/>
      <c r="L47" s="148"/>
      <c r="M47" s="4"/>
    </row>
    <row r="48" spans="2:13" x14ac:dyDescent="0.2">
      <c r="B48" s="44" t="s">
        <v>3</v>
      </c>
      <c r="C48" s="45"/>
      <c r="D48" s="45"/>
      <c r="E48" s="45"/>
      <c r="F48" s="45"/>
      <c r="G48" s="45"/>
      <c r="L48" s="2"/>
      <c r="M48" s="2"/>
    </row>
    <row r="49" spans="2:13" x14ac:dyDescent="0.2">
      <c r="B49" s="44" t="s">
        <v>4</v>
      </c>
      <c r="C49" s="45"/>
      <c r="D49" s="45"/>
      <c r="E49" s="45"/>
      <c r="F49" s="45"/>
      <c r="G49" s="45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8" t="s">
        <v>1</v>
      </c>
      <c r="G51" s="8"/>
      <c r="H51" s="8"/>
      <c r="I51" s="8"/>
      <c r="J51" s="8"/>
      <c r="K51" s="8"/>
      <c r="L51" s="2"/>
      <c r="M51" s="2"/>
    </row>
  </sheetData>
  <mergeCells count="21">
    <mergeCell ref="C47:F47"/>
    <mergeCell ref="I47:L47"/>
    <mergeCell ref="C44:F44"/>
    <mergeCell ref="I44:L44"/>
    <mergeCell ref="C45:F45"/>
    <mergeCell ref="I45:L45"/>
    <mergeCell ref="C46:F46"/>
    <mergeCell ref="I46:L46"/>
    <mergeCell ref="C43:F43"/>
    <mergeCell ref="I43:L43"/>
    <mergeCell ref="A1:D1"/>
    <mergeCell ref="A2:D2"/>
    <mergeCell ref="A3:D3"/>
    <mergeCell ref="A4:D4"/>
    <mergeCell ref="B5:L5"/>
    <mergeCell ref="E20:L20"/>
    <mergeCell ref="D33:E33"/>
    <mergeCell ref="I34:L34"/>
    <mergeCell ref="I38:L38"/>
    <mergeCell ref="I41:L41"/>
    <mergeCell ref="C42:F42"/>
  </mergeCells>
  <pageMargins left="0.39370078740157483" right="0.19685039370078741" top="0.51181102362204722" bottom="0.59055118110236227" header="0" footer="0"/>
  <pageSetup scale="88" orientation="portrait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34"/>
  <dimension ref="A1:S51"/>
  <sheetViews>
    <sheetView workbookViewId="0">
      <selection activeCell="N12" sqref="N12"/>
    </sheetView>
  </sheetViews>
  <sheetFormatPr baseColWidth="10" defaultRowHeight="12.75" x14ac:dyDescent="0.2"/>
  <cols>
    <col min="1" max="1" width="5" customWidth="1"/>
    <col min="2" max="2" width="7.42578125" customWidth="1"/>
    <col min="3" max="3" width="6.85546875" customWidth="1"/>
    <col min="4" max="4" width="9.140625" customWidth="1"/>
    <col min="5" max="5" width="11.7109375" customWidth="1"/>
    <col min="6" max="9" width="8.28515625" customWidth="1"/>
    <col min="10" max="10" width="4.5703125" customWidth="1"/>
    <col min="11" max="11" width="8.28515625" customWidth="1"/>
    <col min="12" max="12" width="12" customWidth="1"/>
    <col min="13" max="13" width="10.85546875" customWidth="1"/>
  </cols>
  <sheetData>
    <row r="1" spans="1:13" x14ac:dyDescent="0.2">
      <c r="A1" s="155" t="s">
        <v>0</v>
      </c>
      <c r="B1" s="155"/>
      <c r="C1" s="155"/>
      <c r="D1" s="155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156" t="s">
        <v>8</v>
      </c>
      <c r="B2" s="156"/>
      <c r="C2" s="156"/>
      <c r="D2" s="156"/>
      <c r="E2" s="2"/>
      <c r="F2" s="2"/>
      <c r="G2" s="2"/>
      <c r="H2" s="2"/>
      <c r="I2" s="2"/>
      <c r="J2" s="2"/>
      <c r="K2" s="2"/>
      <c r="L2" s="21"/>
      <c r="M2" s="21"/>
    </row>
    <row r="3" spans="1:13" ht="15.75" x14ac:dyDescent="0.25">
      <c r="A3" s="156" t="s">
        <v>7</v>
      </c>
      <c r="B3" s="156"/>
      <c r="C3" s="156"/>
      <c r="D3" s="156"/>
      <c r="E3" s="2"/>
      <c r="F3" s="2"/>
      <c r="G3" s="2"/>
      <c r="H3" s="21"/>
      <c r="I3" s="21"/>
      <c r="J3" s="21"/>
      <c r="K3" s="37"/>
      <c r="L3" s="37"/>
      <c r="M3" s="21"/>
    </row>
    <row r="4" spans="1:13" ht="13.5" customHeight="1" x14ac:dyDescent="0.3">
      <c r="A4" s="155"/>
      <c r="B4" s="155"/>
      <c r="C4" s="155"/>
      <c r="D4" s="155"/>
      <c r="E4" s="2"/>
      <c r="F4" s="6"/>
      <c r="G4" s="6"/>
      <c r="H4" s="6"/>
      <c r="I4" s="6"/>
      <c r="J4" s="6"/>
      <c r="K4" s="6"/>
      <c r="L4" s="7"/>
      <c r="M4" s="7"/>
    </row>
    <row r="5" spans="1:13" ht="18" x14ac:dyDescent="0.25">
      <c r="B5" s="157" t="s">
        <v>10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34"/>
    </row>
    <row r="6" spans="1:13" ht="13.5" thickBot="1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5.75" x14ac:dyDescent="0.25">
      <c r="B7" s="2"/>
      <c r="C7" s="2"/>
      <c r="D7" s="2"/>
      <c r="E7" s="2"/>
      <c r="F7" s="2"/>
      <c r="G7" s="2"/>
      <c r="H7" s="46" t="s">
        <v>11</v>
      </c>
      <c r="I7" s="48"/>
      <c r="J7" s="47"/>
      <c r="K7" s="53" t="s">
        <v>122</v>
      </c>
      <c r="L7" s="48"/>
      <c r="M7" s="2"/>
    </row>
    <row r="8" spans="1:13" ht="12.75" customHeight="1" thickBot="1" x14ac:dyDescent="0.25">
      <c r="B8" s="2"/>
      <c r="C8" s="2"/>
      <c r="D8" s="2"/>
      <c r="E8" s="2"/>
      <c r="F8" s="2"/>
      <c r="G8" s="2"/>
      <c r="H8" s="49"/>
      <c r="I8" s="51"/>
      <c r="J8" s="50"/>
      <c r="K8" s="50"/>
      <c r="L8" s="51"/>
      <c r="M8" s="2"/>
    </row>
    <row r="9" spans="1:13" x14ac:dyDescent="0.2">
      <c r="B9" s="5" t="s">
        <v>119</v>
      </c>
      <c r="C9" s="2"/>
      <c r="D9" s="2"/>
      <c r="E9" s="2"/>
      <c r="F9" s="2"/>
      <c r="G9" s="5"/>
      <c r="H9" s="5"/>
      <c r="I9" s="5"/>
      <c r="J9" s="5"/>
      <c r="K9" s="5"/>
      <c r="L9" s="5"/>
      <c r="M9" s="2"/>
    </row>
    <row r="10" spans="1:13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5" x14ac:dyDescent="0.3">
      <c r="B11" s="21" t="s">
        <v>18</v>
      </c>
      <c r="C11" s="6"/>
      <c r="D11" s="21"/>
      <c r="E11" s="6"/>
      <c r="F11" s="6"/>
      <c r="G11" s="21"/>
      <c r="H11" s="6"/>
      <c r="I11" s="6"/>
      <c r="J11" s="6"/>
      <c r="K11" s="6"/>
      <c r="L11" s="6"/>
      <c r="M11" s="6"/>
    </row>
    <row r="12" spans="1:13" ht="15" x14ac:dyDescent="0.3">
      <c r="B12" s="21"/>
      <c r="C12" s="6"/>
      <c r="D12" s="6"/>
      <c r="E12" s="6"/>
      <c r="F12" s="6"/>
      <c r="G12" s="21"/>
      <c r="H12" s="6"/>
      <c r="I12" s="6"/>
      <c r="J12" s="6"/>
      <c r="K12" s="6"/>
      <c r="L12" s="6"/>
      <c r="M12" s="6"/>
    </row>
    <row r="13" spans="1:13" ht="15" x14ac:dyDescent="0.3">
      <c r="B13" s="20" t="s">
        <v>9</v>
      </c>
      <c r="C13" s="21"/>
      <c r="D13" s="6" t="s">
        <v>83</v>
      </c>
      <c r="E13" s="9"/>
      <c r="F13" s="6"/>
      <c r="G13" s="6"/>
      <c r="H13" s="6"/>
      <c r="I13" s="6"/>
      <c r="J13" s="6"/>
      <c r="K13" s="6"/>
      <c r="L13" s="6"/>
      <c r="M13" s="6"/>
    </row>
    <row r="14" spans="1:13" ht="15" x14ac:dyDescent="0.3">
      <c r="B14" s="20"/>
      <c r="C14" s="6"/>
      <c r="D14" s="6"/>
      <c r="E14" s="9"/>
      <c r="F14" s="6"/>
      <c r="G14" s="6"/>
      <c r="H14" s="6"/>
      <c r="I14" s="6"/>
      <c r="J14" s="6"/>
      <c r="K14" s="6"/>
      <c r="L14" s="6"/>
      <c r="M14" s="6"/>
    </row>
    <row r="15" spans="1:13" ht="15" x14ac:dyDescent="0.3">
      <c r="B15" s="20" t="s">
        <v>33</v>
      </c>
      <c r="C15" s="6"/>
      <c r="D15" s="6" t="s">
        <v>84</v>
      </c>
      <c r="E15" s="9"/>
      <c r="F15" s="21"/>
      <c r="G15" s="21"/>
      <c r="H15" s="21"/>
      <c r="I15" s="21"/>
      <c r="J15" s="21"/>
      <c r="K15" s="21"/>
      <c r="L15" s="7"/>
      <c r="M15" s="7"/>
    </row>
    <row r="16" spans="1:13" ht="15" x14ac:dyDescent="0.3">
      <c r="B16" s="20"/>
      <c r="C16" s="6"/>
      <c r="D16" s="6"/>
      <c r="E16" s="9"/>
      <c r="F16" s="21"/>
      <c r="G16" s="21"/>
      <c r="H16" s="21"/>
      <c r="I16" s="21"/>
      <c r="J16" s="21"/>
      <c r="K16" s="21"/>
      <c r="L16" s="7"/>
      <c r="M16" s="7"/>
    </row>
    <row r="17" spans="2:19" ht="15" x14ac:dyDescent="0.3">
      <c r="B17" s="21" t="s">
        <v>12</v>
      </c>
      <c r="C17" s="6"/>
      <c r="D17" s="6"/>
      <c r="E17" s="6"/>
      <c r="F17" s="6"/>
      <c r="G17" s="6"/>
      <c r="H17" s="6"/>
      <c r="I17" s="6"/>
      <c r="J17" s="6"/>
      <c r="K17" s="10"/>
      <c r="L17" s="10"/>
      <c r="M17" s="6"/>
    </row>
    <row r="18" spans="2:19" ht="15" x14ac:dyDescent="0.3">
      <c r="B18" s="40"/>
      <c r="C18" s="10"/>
      <c r="D18" s="10"/>
      <c r="E18" s="41"/>
      <c r="F18" s="10"/>
      <c r="G18" s="10"/>
      <c r="H18" s="10"/>
      <c r="I18" s="10"/>
      <c r="J18" s="10"/>
      <c r="K18" s="10"/>
      <c r="L18" s="10"/>
      <c r="M18" s="6"/>
    </row>
    <row r="19" spans="2:19" ht="15" x14ac:dyDescent="0.3">
      <c r="B19" s="11"/>
      <c r="C19" s="11"/>
      <c r="D19" s="11"/>
      <c r="E19" s="6" t="s">
        <v>1</v>
      </c>
      <c r="F19" s="11"/>
      <c r="G19" s="11"/>
      <c r="H19" s="11"/>
      <c r="I19" s="11"/>
      <c r="J19" s="11"/>
      <c r="K19" s="11"/>
      <c r="L19" s="11" t="s">
        <v>1</v>
      </c>
      <c r="M19" s="11"/>
    </row>
    <row r="20" spans="2:19" ht="15.75" x14ac:dyDescent="0.25">
      <c r="B20" s="31" t="s">
        <v>19</v>
      </c>
      <c r="C20" s="32" t="s">
        <v>5</v>
      </c>
      <c r="D20" s="32" t="s">
        <v>20</v>
      </c>
      <c r="E20" s="149" t="s">
        <v>2</v>
      </c>
      <c r="F20" s="150"/>
      <c r="G20" s="150"/>
      <c r="H20" s="150"/>
      <c r="I20" s="150"/>
      <c r="J20" s="150"/>
      <c r="K20" s="150"/>
      <c r="L20" s="151"/>
      <c r="M20" s="35"/>
    </row>
    <row r="21" spans="2:19" ht="15" customHeight="1" x14ac:dyDescent="0.2">
      <c r="B21" s="22">
        <v>1</v>
      </c>
      <c r="C21" s="71">
        <v>300</v>
      </c>
      <c r="D21" s="14" t="s">
        <v>54</v>
      </c>
      <c r="E21" s="33" t="s">
        <v>123</v>
      </c>
      <c r="F21" s="25"/>
      <c r="G21" s="25"/>
      <c r="H21" s="25"/>
      <c r="I21" s="25"/>
      <c r="J21" s="25"/>
      <c r="K21" s="25"/>
      <c r="L21" s="17"/>
      <c r="M21" s="3"/>
    </row>
    <row r="22" spans="2:19" ht="15" customHeight="1" x14ac:dyDescent="0.3">
      <c r="B22" s="22">
        <f>+B21+1</f>
        <v>2</v>
      </c>
      <c r="C22" s="27"/>
      <c r="D22" s="19"/>
      <c r="E22" s="24" t="s">
        <v>94</v>
      </c>
      <c r="F22" s="25"/>
      <c r="G22" s="25"/>
      <c r="H22" s="25"/>
      <c r="I22" s="25"/>
      <c r="J22" s="25"/>
      <c r="K22" s="25"/>
      <c r="L22" s="17"/>
      <c r="M22" s="3"/>
      <c r="O22" s="30"/>
      <c r="P22" s="1"/>
      <c r="Q22" s="6"/>
      <c r="S22" s="3"/>
    </row>
    <row r="23" spans="2:19" ht="15" customHeight="1" x14ac:dyDescent="0.3">
      <c r="B23" s="22">
        <f t="shared" ref="B23:B30" si="0">+B22+1</f>
        <v>3</v>
      </c>
      <c r="C23" s="27"/>
      <c r="D23" s="19"/>
      <c r="E23" s="16"/>
      <c r="F23" s="40"/>
      <c r="G23" s="40"/>
      <c r="H23" s="40"/>
      <c r="I23" s="40"/>
      <c r="J23" s="40"/>
      <c r="K23" s="40"/>
      <c r="L23" s="23"/>
      <c r="M23" s="3"/>
      <c r="O23" s="30"/>
      <c r="P23" s="1"/>
      <c r="Q23" s="6"/>
      <c r="S23" s="3"/>
    </row>
    <row r="24" spans="2:19" ht="15" customHeight="1" x14ac:dyDescent="0.3">
      <c r="B24" s="22">
        <f t="shared" si="0"/>
        <v>4</v>
      </c>
      <c r="C24" s="27"/>
      <c r="D24" s="19"/>
      <c r="E24" s="24"/>
      <c r="F24" s="25"/>
      <c r="G24" s="25"/>
      <c r="H24" s="25"/>
      <c r="I24" s="25"/>
      <c r="J24" s="25"/>
      <c r="K24" s="25"/>
      <c r="L24" s="17"/>
      <c r="M24" s="3"/>
    </row>
    <row r="25" spans="2:19" ht="15" customHeight="1" x14ac:dyDescent="0.3">
      <c r="B25" s="22">
        <f t="shared" si="0"/>
        <v>5</v>
      </c>
      <c r="C25" s="26"/>
      <c r="D25" s="19"/>
      <c r="E25" s="16"/>
      <c r="F25" s="40"/>
      <c r="G25" s="40"/>
      <c r="H25" s="40"/>
      <c r="I25" s="40"/>
      <c r="J25" s="40"/>
      <c r="K25" s="40"/>
      <c r="L25" s="23"/>
      <c r="M25" s="3"/>
    </row>
    <row r="26" spans="2:19" ht="15" customHeight="1" x14ac:dyDescent="0.2">
      <c r="B26" s="22">
        <f t="shared" si="0"/>
        <v>6</v>
      </c>
      <c r="C26" s="26"/>
      <c r="D26" s="19"/>
      <c r="E26" s="38"/>
      <c r="F26" s="29"/>
      <c r="G26" s="29"/>
      <c r="H26" s="29"/>
      <c r="I26" s="29"/>
      <c r="J26" s="29"/>
      <c r="K26" s="29"/>
      <c r="L26" s="17"/>
      <c r="M26" s="3"/>
    </row>
    <row r="27" spans="2:19" ht="15" customHeight="1" x14ac:dyDescent="0.3">
      <c r="B27" s="22">
        <f t="shared" si="0"/>
        <v>7</v>
      </c>
      <c r="C27" s="12"/>
      <c r="D27" s="13"/>
      <c r="E27" s="24"/>
      <c r="F27" s="25"/>
      <c r="G27" s="25"/>
      <c r="H27" s="25"/>
      <c r="I27" s="25"/>
      <c r="J27" s="25"/>
      <c r="K27" s="25"/>
      <c r="L27" s="17"/>
      <c r="M27" s="3"/>
    </row>
    <row r="28" spans="2:19" ht="15" customHeight="1" x14ac:dyDescent="0.3">
      <c r="B28" s="22">
        <f t="shared" si="0"/>
        <v>8</v>
      </c>
      <c r="C28" s="15"/>
      <c r="D28" s="13"/>
      <c r="E28" s="16"/>
      <c r="F28" s="40"/>
      <c r="G28" s="40"/>
      <c r="H28" s="40"/>
      <c r="I28" s="40"/>
      <c r="J28" s="40"/>
      <c r="K28" s="40"/>
      <c r="L28" s="23"/>
      <c r="M28" s="3"/>
    </row>
    <row r="29" spans="2:19" ht="15" customHeight="1" x14ac:dyDescent="0.3">
      <c r="B29" s="22">
        <f t="shared" si="0"/>
        <v>9</v>
      </c>
      <c r="C29" s="15"/>
      <c r="D29" s="13"/>
      <c r="E29" s="24"/>
      <c r="F29" s="25"/>
      <c r="G29" s="25"/>
      <c r="H29" s="25"/>
      <c r="I29" s="25"/>
      <c r="J29" s="25"/>
      <c r="K29" s="25"/>
      <c r="L29" s="17"/>
      <c r="M29" s="3"/>
    </row>
    <row r="30" spans="2:19" ht="15" customHeight="1" x14ac:dyDescent="0.3">
      <c r="B30" s="22">
        <f t="shared" si="0"/>
        <v>10</v>
      </c>
      <c r="C30" s="12"/>
      <c r="D30" s="13"/>
      <c r="E30" s="24"/>
      <c r="F30" s="25"/>
      <c r="G30" s="25"/>
      <c r="H30" s="25"/>
      <c r="I30" s="25"/>
      <c r="J30" s="25"/>
      <c r="K30" s="25"/>
      <c r="L30" s="17"/>
      <c r="M30" s="3"/>
    </row>
    <row r="31" spans="2:19" ht="15" x14ac:dyDescent="0.3">
      <c r="B31" s="2"/>
      <c r="C31" s="2"/>
      <c r="D31" s="2"/>
      <c r="E31" s="6"/>
      <c r="F31" s="3"/>
      <c r="G31" s="3"/>
      <c r="H31" s="3"/>
      <c r="I31" s="3"/>
      <c r="J31" s="3"/>
      <c r="K31" s="3"/>
      <c r="L31" s="3"/>
      <c r="M31" s="3"/>
    </row>
    <row r="32" spans="2:19" ht="15.75" thickBot="1" x14ac:dyDescent="0.35">
      <c r="B32" s="5" t="s">
        <v>13</v>
      </c>
      <c r="C32" s="2"/>
      <c r="D32" s="36"/>
      <c r="E32" s="6"/>
      <c r="F32" s="3"/>
      <c r="G32" s="3"/>
      <c r="H32" s="3"/>
      <c r="I32" s="3"/>
      <c r="J32" s="3"/>
      <c r="K32" s="3"/>
      <c r="L32" s="3"/>
      <c r="M32" s="3"/>
    </row>
    <row r="33" spans="2:13" ht="15.75" thickBot="1" x14ac:dyDescent="0.35">
      <c r="B33" s="42" t="s">
        <v>14</v>
      </c>
      <c r="C33" s="43"/>
      <c r="D33" s="152">
        <v>311401</v>
      </c>
      <c r="E33" s="153"/>
      <c r="F33" s="6"/>
      <c r="G33" s="6"/>
      <c r="H33" s="6"/>
      <c r="I33" s="10"/>
      <c r="J33" s="10"/>
      <c r="K33" s="10"/>
      <c r="L33" s="39"/>
      <c r="M33" s="18"/>
    </row>
    <row r="34" spans="2:13" ht="15" x14ac:dyDescent="0.3">
      <c r="B34" s="2"/>
      <c r="C34" s="2"/>
      <c r="D34" s="36"/>
      <c r="E34" s="2"/>
      <c r="F34" s="6"/>
      <c r="G34" s="6"/>
      <c r="H34" s="6"/>
      <c r="I34" s="154" t="s">
        <v>16</v>
      </c>
      <c r="J34" s="154"/>
      <c r="K34" s="154"/>
      <c r="L34" s="154"/>
      <c r="M34" s="2"/>
    </row>
    <row r="35" spans="2:13" ht="15" x14ac:dyDescent="0.3">
      <c r="B35" s="2"/>
      <c r="C35" s="2"/>
      <c r="D35" s="36"/>
      <c r="E35" s="2"/>
      <c r="F35" s="6"/>
      <c r="G35" s="6"/>
      <c r="H35" s="6"/>
      <c r="I35" s="54"/>
      <c r="J35" s="54"/>
      <c r="K35" s="54"/>
      <c r="L35" s="54"/>
      <c r="M35" s="2"/>
    </row>
    <row r="36" spans="2:13" ht="15" x14ac:dyDescent="0.3">
      <c r="B36" s="2"/>
      <c r="C36" s="2"/>
      <c r="D36" s="36"/>
      <c r="E36" s="2"/>
      <c r="F36" s="6"/>
      <c r="G36" s="6"/>
      <c r="H36" s="6"/>
      <c r="I36" s="54"/>
      <c r="J36" s="54"/>
      <c r="K36" s="54"/>
      <c r="L36" s="54"/>
      <c r="M36" s="2"/>
    </row>
    <row r="37" spans="2:13" x14ac:dyDescent="0.2">
      <c r="B37" s="2"/>
      <c r="C37" s="2"/>
      <c r="D37" s="36"/>
      <c r="E37" s="2"/>
      <c r="F37" s="2"/>
      <c r="G37" s="2"/>
      <c r="H37" s="2"/>
      <c r="I37" s="2"/>
      <c r="J37" s="2"/>
      <c r="K37" s="2"/>
      <c r="L37" s="4"/>
      <c r="M37" s="4"/>
    </row>
    <row r="38" spans="2:13" x14ac:dyDescent="0.2">
      <c r="B38" s="2"/>
      <c r="C38" s="2"/>
      <c r="D38" s="36"/>
      <c r="E38" s="2"/>
      <c r="F38" s="2"/>
      <c r="G38" s="7"/>
      <c r="H38" s="7"/>
      <c r="I38" s="148" t="s">
        <v>17</v>
      </c>
      <c r="J38" s="148"/>
      <c r="K38" s="148"/>
      <c r="L38" s="148"/>
      <c r="M38" s="4"/>
    </row>
    <row r="39" spans="2:13" x14ac:dyDescent="0.2">
      <c r="B39" s="2"/>
      <c r="C39" s="2"/>
      <c r="D39" s="36"/>
      <c r="E39" s="2"/>
      <c r="F39" s="2"/>
      <c r="G39" s="7"/>
      <c r="H39" s="7"/>
      <c r="I39" s="52"/>
      <c r="J39" s="52"/>
      <c r="K39" s="52"/>
      <c r="L39" s="52"/>
      <c r="M39" s="4"/>
    </row>
    <row r="40" spans="2:13" x14ac:dyDescent="0.2">
      <c r="B40" s="2"/>
      <c r="C40" s="2"/>
      <c r="D40" s="36"/>
      <c r="E40" s="2"/>
      <c r="F40" s="2"/>
      <c r="G40" s="7"/>
      <c r="H40" s="7"/>
      <c r="I40" s="52"/>
      <c r="J40" s="52"/>
      <c r="K40" s="52"/>
      <c r="L40" s="52"/>
      <c r="M40" s="4"/>
    </row>
    <row r="41" spans="2:13" x14ac:dyDescent="0.2">
      <c r="B41" s="2"/>
      <c r="C41" s="2"/>
      <c r="D41" s="2"/>
      <c r="E41" s="7"/>
      <c r="F41" s="7"/>
      <c r="G41" s="7"/>
      <c r="H41" s="7"/>
      <c r="I41" s="148"/>
      <c r="J41" s="148"/>
      <c r="K41" s="148"/>
      <c r="L41" s="148"/>
      <c r="M41" s="4"/>
    </row>
    <row r="42" spans="2:13" ht="13.5" thickBot="1" x14ac:dyDescent="0.25">
      <c r="B42" s="2"/>
      <c r="C42" s="147"/>
      <c r="D42" s="147"/>
      <c r="E42" s="147"/>
      <c r="F42" s="147"/>
      <c r="G42" s="7"/>
      <c r="H42" s="7"/>
      <c r="I42" s="56"/>
      <c r="J42" s="56"/>
      <c r="K42" s="56"/>
      <c r="L42" s="57"/>
      <c r="M42" s="4"/>
    </row>
    <row r="43" spans="2:13" x14ac:dyDescent="0.2">
      <c r="B43" s="2"/>
      <c r="C43" s="148" t="s">
        <v>85</v>
      </c>
      <c r="D43" s="148"/>
      <c r="E43" s="148"/>
      <c r="F43" s="148"/>
      <c r="G43" s="7"/>
      <c r="H43" s="7"/>
      <c r="I43" s="148" t="s">
        <v>86</v>
      </c>
      <c r="J43" s="148"/>
      <c r="K43" s="148"/>
      <c r="L43" s="148"/>
      <c r="M43" s="4"/>
    </row>
    <row r="44" spans="2:13" x14ac:dyDescent="0.2">
      <c r="B44" s="2"/>
      <c r="C44" s="148" t="s">
        <v>6</v>
      </c>
      <c r="D44" s="148"/>
      <c r="E44" s="148"/>
      <c r="F44" s="148"/>
      <c r="G44" s="2"/>
      <c r="H44" s="2"/>
      <c r="I44" s="148" t="s">
        <v>87</v>
      </c>
      <c r="J44" s="148"/>
      <c r="K44" s="148"/>
      <c r="L44" s="148"/>
      <c r="M44" s="4"/>
    </row>
    <row r="45" spans="2:13" x14ac:dyDescent="0.2">
      <c r="B45" s="2"/>
      <c r="C45" s="148" t="s">
        <v>21</v>
      </c>
      <c r="D45" s="148"/>
      <c r="E45" s="148"/>
      <c r="F45" s="148"/>
      <c r="G45" s="7"/>
      <c r="H45" s="7"/>
      <c r="I45" s="148" t="s">
        <v>15</v>
      </c>
      <c r="J45" s="148"/>
      <c r="K45" s="148"/>
      <c r="L45" s="148"/>
      <c r="M45" s="4"/>
    </row>
    <row r="46" spans="2:13" x14ac:dyDescent="0.2">
      <c r="B46" s="2"/>
      <c r="C46" s="148"/>
      <c r="D46" s="148"/>
      <c r="E46" s="148"/>
      <c r="F46" s="148"/>
      <c r="G46" s="7"/>
      <c r="H46" s="7"/>
      <c r="I46" s="148"/>
      <c r="J46" s="148"/>
      <c r="K46" s="148"/>
      <c r="L46" s="148"/>
      <c r="M46" s="4"/>
    </row>
    <row r="47" spans="2:13" x14ac:dyDescent="0.2">
      <c r="B47" s="2"/>
      <c r="C47" s="148"/>
      <c r="D47" s="148"/>
      <c r="E47" s="148"/>
      <c r="F47" s="148"/>
      <c r="G47" s="7"/>
      <c r="H47" s="7"/>
      <c r="I47" s="148"/>
      <c r="J47" s="148"/>
      <c r="K47" s="148"/>
      <c r="L47" s="148"/>
      <c r="M47" s="4"/>
    </row>
    <row r="48" spans="2:13" x14ac:dyDescent="0.2">
      <c r="B48" s="44" t="s">
        <v>3</v>
      </c>
      <c r="C48" s="45"/>
      <c r="D48" s="45"/>
      <c r="E48" s="45"/>
      <c r="F48" s="45"/>
      <c r="G48" s="45"/>
      <c r="L48" s="2"/>
      <c r="M48" s="2"/>
    </row>
    <row r="49" spans="2:13" x14ac:dyDescent="0.2">
      <c r="B49" s="44" t="s">
        <v>4</v>
      </c>
      <c r="C49" s="45"/>
      <c r="D49" s="45"/>
      <c r="E49" s="45"/>
      <c r="F49" s="45"/>
      <c r="G49" s="45"/>
      <c r="L49" s="2"/>
      <c r="M49" s="2"/>
    </row>
    <row r="50" spans="2:13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">
      <c r="B51" s="2"/>
      <c r="C51" s="2"/>
      <c r="D51" s="2"/>
      <c r="E51" s="2"/>
      <c r="F51" s="8" t="s">
        <v>1</v>
      </c>
      <c r="G51" s="8"/>
      <c r="H51" s="8"/>
      <c r="I51" s="8"/>
      <c r="J51" s="8"/>
      <c r="K51" s="8"/>
      <c r="L51" s="2"/>
      <c r="M51" s="2"/>
    </row>
  </sheetData>
  <mergeCells count="21">
    <mergeCell ref="A1:D1"/>
    <mergeCell ref="A2:D2"/>
    <mergeCell ref="A3:D3"/>
    <mergeCell ref="A4:D4"/>
    <mergeCell ref="B5:L5"/>
    <mergeCell ref="E20:L20"/>
    <mergeCell ref="D33:E33"/>
    <mergeCell ref="I34:L34"/>
    <mergeCell ref="I38:L38"/>
    <mergeCell ref="I41:L41"/>
    <mergeCell ref="C42:F42"/>
    <mergeCell ref="C43:F43"/>
    <mergeCell ref="I43:L43"/>
    <mergeCell ref="C47:F47"/>
    <mergeCell ref="I47:L47"/>
    <mergeCell ref="C44:F44"/>
    <mergeCell ref="I44:L44"/>
    <mergeCell ref="C45:F45"/>
    <mergeCell ref="I45:L45"/>
    <mergeCell ref="C46:F46"/>
    <mergeCell ref="I46:L46"/>
  </mergeCells>
  <pageMargins left="0.39370078740157483" right="0.19685039370078741" top="0.51181102362204722" bottom="0.59055118110236227" header="0" footer="0"/>
  <pageSetup scale="88" orientation="portrait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35"/>
  <dimension ref="A3:G52"/>
  <sheetViews>
    <sheetView workbookViewId="0">
      <selection activeCell="H33" sqref="H33"/>
    </sheetView>
  </sheetViews>
  <sheetFormatPr baseColWidth="10" defaultRowHeight="15" x14ac:dyDescent="0.2"/>
  <cols>
    <col min="1" max="1" width="7.5703125" style="58" customWidth="1"/>
    <col min="2" max="2" width="11.42578125" style="58"/>
    <col min="3" max="3" width="18.28515625" style="58" customWidth="1"/>
    <col min="4" max="4" width="14.28515625" style="58" customWidth="1"/>
    <col min="5" max="5" width="12" style="58" customWidth="1"/>
    <col min="6" max="6" width="10.85546875" style="58" customWidth="1"/>
    <col min="7" max="7" width="23.42578125" style="58" customWidth="1"/>
    <col min="8" max="16384" width="11.42578125" style="58"/>
  </cols>
  <sheetData>
    <row r="3" spans="1:7" ht="15.75" x14ac:dyDescent="0.25">
      <c r="B3" s="62" t="s">
        <v>22</v>
      </c>
      <c r="F3" s="55" t="s">
        <v>41</v>
      </c>
    </row>
    <row r="4" spans="1:7" x14ac:dyDescent="0.2">
      <c r="B4" s="62" t="s">
        <v>37</v>
      </c>
    </row>
    <row r="6" spans="1:7" ht="21.75" customHeight="1" x14ac:dyDescent="0.25">
      <c r="A6" s="160" t="s">
        <v>23</v>
      </c>
      <c r="B6" s="160"/>
      <c r="C6" s="160"/>
      <c r="D6" s="160"/>
      <c r="E6" s="160"/>
      <c r="F6" s="160"/>
      <c r="G6" s="160"/>
    </row>
    <row r="9" spans="1:7" ht="15.75" x14ac:dyDescent="0.25">
      <c r="A9" s="165" t="s">
        <v>34</v>
      </c>
      <c r="B9" s="165"/>
      <c r="C9" s="161" t="s">
        <v>46</v>
      </c>
      <c r="D9" s="161"/>
      <c r="E9" s="59" t="s">
        <v>24</v>
      </c>
      <c r="G9" s="63" t="s">
        <v>47</v>
      </c>
    </row>
    <row r="12" spans="1:7" ht="15.75" x14ac:dyDescent="0.25">
      <c r="A12" s="59" t="s">
        <v>35</v>
      </c>
      <c r="B12" s="64" t="s">
        <v>48</v>
      </c>
      <c r="C12" s="65"/>
    </row>
    <row r="15" spans="1:7" ht="15.75" x14ac:dyDescent="0.25">
      <c r="A15" s="60" t="s">
        <v>27</v>
      </c>
      <c r="B15" s="163" t="s">
        <v>38</v>
      </c>
      <c r="C15" s="164"/>
      <c r="D15" s="60" t="s">
        <v>39</v>
      </c>
      <c r="E15" s="60" t="s">
        <v>25</v>
      </c>
      <c r="F15" s="60" t="s">
        <v>26</v>
      </c>
      <c r="G15" s="60" t="s">
        <v>36</v>
      </c>
    </row>
    <row r="16" spans="1:7" x14ac:dyDescent="0.2">
      <c r="A16" s="61">
        <v>1</v>
      </c>
      <c r="B16" s="158" t="s">
        <v>49</v>
      </c>
      <c r="C16" s="159"/>
      <c r="D16" s="61"/>
      <c r="E16" s="66">
        <v>5</v>
      </c>
      <c r="F16" s="66" t="s">
        <v>50</v>
      </c>
      <c r="G16" s="67" t="s">
        <v>51</v>
      </c>
    </row>
    <row r="17" spans="1:7" x14ac:dyDescent="0.2">
      <c r="A17" s="61">
        <v>2</v>
      </c>
      <c r="B17" s="158" t="s">
        <v>52</v>
      </c>
      <c r="C17" s="159"/>
      <c r="D17" s="61"/>
      <c r="E17" s="66">
        <v>5</v>
      </c>
      <c r="F17" s="66" t="s">
        <v>50</v>
      </c>
      <c r="G17" s="67" t="s">
        <v>53</v>
      </c>
    </row>
    <row r="18" spans="1:7" x14ac:dyDescent="0.2">
      <c r="A18" s="61">
        <v>3</v>
      </c>
      <c r="B18" s="158" t="s">
        <v>55</v>
      </c>
      <c r="C18" s="159"/>
      <c r="D18" s="61"/>
      <c r="E18" s="66">
        <v>2</v>
      </c>
      <c r="F18" s="66" t="s">
        <v>56</v>
      </c>
      <c r="G18" s="68" t="s">
        <v>57</v>
      </c>
    </row>
    <row r="19" spans="1:7" x14ac:dyDescent="0.2">
      <c r="A19" s="61">
        <v>4</v>
      </c>
      <c r="B19" s="158" t="s">
        <v>58</v>
      </c>
      <c r="C19" s="159"/>
      <c r="D19" s="61"/>
      <c r="E19" s="66">
        <v>1</v>
      </c>
      <c r="F19" s="66" t="s">
        <v>54</v>
      </c>
      <c r="G19" s="68" t="s">
        <v>59</v>
      </c>
    </row>
    <row r="20" spans="1:7" x14ac:dyDescent="0.2">
      <c r="A20" s="61">
        <v>5</v>
      </c>
      <c r="B20" s="158" t="s">
        <v>60</v>
      </c>
      <c r="C20" s="159"/>
      <c r="D20" s="61"/>
      <c r="E20" s="66">
        <v>1</v>
      </c>
      <c r="F20" s="66" t="s">
        <v>54</v>
      </c>
      <c r="G20" s="69" t="s">
        <v>61</v>
      </c>
    </row>
    <row r="21" spans="1:7" x14ac:dyDescent="0.2">
      <c r="A21" s="61">
        <v>6</v>
      </c>
      <c r="B21" s="158" t="s">
        <v>62</v>
      </c>
      <c r="C21" s="159"/>
      <c r="D21" s="61"/>
      <c r="E21" s="66">
        <v>2</v>
      </c>
      <c r="F21" s="66" t="s">
        <v>54</v>
      </c>
      <c r="G21" s="66" t="s">
        <v>63</v>
      </c>
    </row>
    <row r="22" spans="1:7" x14ac:dyDescent="0.2">
      <c r="A22" s="61">
        <v>7</v>
      </c>
      <c r="B22" s="158" t="s">
        <v>64</v>
      </c>
      <c r="C22" s="159"/>
      <c r="D22" s="61"/>
      <c r="E22" s="66">
        <v>1</v>
      </c>
      <c r="F22" s="66" t="s">
        <v>66</v>
      </c>
      <c r="G22" s="68" t="s">
        <v>65</v>
      </c>
    </row>
    <row r="23" spans="1:7" x14ac:dyDescent="0.2">
      <c r="A23" s="61">
        <v>8</v>
      </c>
      <c r="B23" s="158" t="s">
        <v>68</v>
      </c>
      <c r="C23" s="159"/>
      <c r="D23" s="61"/>
      <c r="E23" s="66">
        <v>3</v>
      </c>
      <c r="F23" s="66" t="s">
        <v>54</v>
      </c>
      <c r="G23" s="69" t="s">
        <v>69</v>
      </c>
    </row>
    <row r="24" spans="1:7" x14ac:dyDescent="0.2">
      <c r="A24" s="61">
        <v>9</v>
      </c>
      <c r="B24" s="158" t="s">
        <v>70</v>
      </c>
      <c r="C24" s="159"/>
      <c r="D24" s="61"/>
      <c r="E24" s="66">
        <v>1</v>
      </c>
      <c r="F24" s="66" t="s">
        <v>54</v>
      </c>
      <c r="G24" s="66" t="s">
        <v>71</v>
      </c>
    </row>
    <row r="25" spans="1:7" x14ac:dyDescent="0.2">
      <c r="A25" s="61">
        <v>10</v>
      </c>
      <c r="B25" s="158" t="s">
        <v>72</v>
      </c>
      <c r="C25" s="159"/>
      <c r="D25" s="61"/>
      <c r="E25" s="66">
        <v>30</v>
      </c>
      <c r="F25" s="66" t="s">
        <v>54</v>
      </c>
      <c r="G25" s="68" t="s">
        <v>73</v>
      </c>
    </row>
    <row r="26" spans="1:7" x14ac:dyDescent="0.2">
      <c r="A26" s="61">
        <v>11</v>
      </c>
      <c r="B26" s="158" t="s">
        <v>74</v>
      </c>
      <c r="C26" s="159"/>
      <c r="D26" s="61"/>
      <c r="E26" s="66">
        <v>5</v>
      </c>
      <c r="F26" s="66" t="s">
        <v>54</v>
      </c>
      <c r="G26" s="69" t="s">
        <v>75</v>
      </c>
    </row>
    <row r="27" spans="1:7" x14ac:dyDescent="0.2">
      <c r="A27" s="61">
        <v>12</v>
      </c>
      <c r="B27" s="158" t="s">
        <v>76</v>
      </c>
      <c r="C27" s="159"/>
      <c r="D27" s="61"/>
      <c r="E27" s="66">
        <v>1</v>
      </c>
      <c r="F27" s="66" t="s">
        <v>54</v>
      </c>
      <c r="G27" s="67" t="s">
        <v>77</v>
      </c>
    </row>
    <row r="28" spans="1:7" x14ac:dyDescent="0.2">
      <c r="A28" s="61">
        <v>13</v>
      </c>
      <c r="B28" s="158" t="s">
        <v>78</v>
      </c>
      <c r="C28" s="159"/>
      <c r="D28" s="61"/>
      <c r="E28" s="66">
        <v>3</v>
      </c>
      <c r="F28" s="66" t="s">
        <v>54</v>
      </c>
      <c r="G28" s="66" t="s">
        <v>79</v>
      </c>
    </row>
    <row r="29" spans="1:7" x14ac:dyDescent="0.2">
      <c r="A29" s="61">
        <v>14</v>
      </c>
      <c r="B29" s="158" t="s">
        <v>80</v>
      </c>
      <c r="C29" s="159"/>
      <c r="D29" s="61"/>
      <c r="E29" s="66">
        <v>2</v>
      </c>
      <c r="F29" s="66" t="s">
        <v>81</v>
      </c>
      <c r="G29" s="69" t="s">
        <v>82</v>
      </c>
    </row>
    <row r="30" spans="1:7" x14ac:dyDescent="0.2">
      <c r="A30" s="61">
        <v>15</v>
      </c>
      <c r="B30" s="158"/>
      <c r="C30" s="159"/>
      <c r="D30" s="61"/>
      <c r="E30" s="61"/>
      <c r="F30" s="61"/>
      <c r="G30" s="61"/>
    </row>
    <row r="32" spans="1:7" s="55" customFormat="1" ht="15.75" x14ac:dyDescent="0.25">
      <c r="B32" s="55" t="s">
        <v>43</v>
      </c>
    </row>
    <row r="33" spans="1:7" s="55" customFormat="1" ht="15.75" x14ac:dyDescent="0.25">
      <c r="A33" s="55" t="s">
        <v>42</v>
      </c>
    </row>
    <row r="35" spans="1:7" ht="15.75" x14ac:dyDescent="0.25">
      <c r="D35" s="55" t="s">
        <v>28</v>
      </c>
    </row>
    <row r="40" spans="1:7" ht="16.5" thickBot="1" x14ac:dyDescent="0.3">
      <c r="A40" s="70" t="s">
        <v>67</v>
      </c>
      <c r="B40" s="70"/>
      <c r="C40" s="70"/>
      <c r="F40" s="166"/>
      <c r="G40" s="166"/>
    </row>
    <row r="41" spans="1:7" ht="15.75" x14ac:dyDescent="0.25">
      <c r="A41" s="162" t="s">
        <v>31</v>
      </c>
      <c r="B41" s="162"/>
      <c r="C41" s="162"/>
      <c r="F41" s="165" t="s">
        <v>44</v>
      </c>
      <c r="G41" s="165"/>
    </row>
    <row r="42" spans="1:7" ht="15" customHeight="1" x14ac:dyDescent="0.25">
      <c r="F42" s="165" t="s">
        <v>6</v>
      </c>
      <c r="G42" s="165"/>
    </row>
    <row r="43" spans="1:7" ht="15" customHeight="1" x14ac:dyDescent="0.25">
      <c r="F43" s="165" t="s">
        <v>29</v>
      </c>
      <c r="G43" s="165"/>
    </row>
    <row r="45" spans="1:7" ht="15.75" x14ac:dyDescent="0.25">
      <c r="D45" s="165" t="s">
        <v>40</v>
      </c>
      <c r="E45" s="165"/>
      <c r="F45" s="165"/>
    </row>
    <row r="49" spans="4:6" ht="15.75" thickBot="1" x14ac:dyDescent="0.25">
      <c r="D49" s="166"/>
      <c r="E49" s="166"/>
      <c r="F49" s="166"/>
    </row>
    <row r="50" spans="4:6" ht="15.75" x14ac:dyDescent="0.25">
      <c r="D50" s="167" t="s">
        <v>32</v>
      </c>
      <c r="E50" s="167"/>
      <c r="F50" s="167"/>
    </row>
    <row r="51" spans="4:6" ht="15.75" x14ac:dyDescent="0.25">
      <c r="D51" s="165" t="s">
        <v>30</v>
      </c>
      <c r="E51" s="165"/>
      <c r="F51" s="165"/>
    </row>
    <row r="52" spans="4:6" ht="15.75" x14ac:dyDescent="0.25">
      <c r="D52" s="165" t="s">
        <v>45</v>
      </c>
      <c r="E52" s="165"/>
      <c r="F52" s="165"/>
    </row>
  </sheetData>
  <mergeCells count="29">
    <mergeCell ref="D52:F52"/>
    <mergeCell ref="D45:F45"/>
    <mergeCell ref="D50:F50"/>
    <mergeCell ref="F41:G41"/>
    <mergeCell ref="F42:G42"/>
    <mergeCell ref="F43:G43"/>
    <mergeCell ref="D49:F49"/>
    <mergeCell ref="D51:F51"/>
    <mergeCell ref="A6:G6"/>
    <mergeCell ref="C9:D9"/>
    <mergeCell ref="B21:C21"/>
    <mergeCell ref="B22:C22"/>
    <mergeCell ref="A41:C41"/>
    <mergeCell ref="B15:C15"/>
    <mergeCell ref="B16:C16"/>
    <mergeCell ref="B17:C17"/>
    <mergeCell ref="B18:C18"/>
    <mergeCell ref="A9:B9"/>
    <mergeCell ref="F40:G40"/>
    <mergeCell ref="B28:C28"/>
    <mergeCell ref="B20:C20"/>
    <mergeCell ref="B19:C19"/>
    <mergeCell ref="B25:C25"/>
    <mergeCell ref="B26:C26"/>
    <mergeCell ref="B27:C27"/>
    <mergeCell ref="B29:C29"/>
    <mergeCell ref="B24:C24"/>
    <mergeCell ref="B30:C30"/>
    <mergeCell ref="B23:C23"/>
  </mergeCells>
  <phoneticPr fontId="0" type="noConversion"/>
  <pageMargins left="0.39370078740157483" right="0.39370078740157483" top="0.19685039370078741" bottom="0.19685039370078741" header="0" footer="0"/>
  <pageSetup paperSize="25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6"/>
  <dimension ref="A3:G42"/>
  <sheetViews>
    <sheetView topLeftCell="C1" workbookViewId="0">
      <selection activeCell="J20" sqref="J20"/>
    </sheetView>
  </sheetViews>
  <sheetFormatPr baseColWidth="10" defaultRowHeight="15" x14ac:dyDescent="0.2"/>
  <cols>
    <col min="1" max="1" width="7.5703125" style="58" customWidth="1"/>
    <col min="2" max="2" width="11.42578125" style="58"/>
    <col min="3" max="3" width="18.28515625" style="58" customWidth="1"/>
    <col min="4" max="4" width="14.28515625" style="58" customWidth="1"/>
    <col min="5" max="5" width="12" style="58" customWidth="1"/>
    <col min="6" max="6" width="10.85546875" style="58" customWidth="1"/>
    <col min="7" max="7" width="25" style="58" customWidth="1"/>
    <col min="8" max="16384" width="11.42578125" style="58"/>
  </cols>
  <sheetData>
    <row r="3" spans="1:7" ht="15.75" x14ac:dyDescent="0.25">
      <c r="B3" s="62" t="s">
        <v>22</v>
      </c>
      <c r="F3" s="55" t="s">
        <v>41</v>
      </c>
    </row>
    <row r="4" spans="1:7" x14ac:dyDescent="0.2">
      <c r="B4" s="62" t="s">
        <v>37</v>
      </c>
    </row>
    <row r="6" spans="1:7" ht="21.75" customHeight="1" x14ac:dyDescent="0.25">
      <c r="A6" s="160" t="s">
        <v>23</v>
      </c>
      <c r="B6" s="160"/>
      <c r="C6" s="160"/>
      <c r="D6" s="160"/>
      <c r="E6" s="160"/>
      <c r="F6" s="160"/>
      <c r="G6" s="160"/>
    </row>
    <row r="9" spans="1:7" ht="15.75" x14ac:dyDescent="0.25">
      <c r="A9" s="165" t="s">
        <v>34</v>
      </c>
      <c r="B9" s="165"/>
      <c r="C9" s="161" t="s">
        <v>95</v>
      </c>
      <c r="D9" s="161"/>
      <c r="E9" s="59" t="s">
        <v>24</v>
      </c>
      <c r="G9" s="63" t="s">
        <v>117</v>
      </c>
    </row>
    <row r="12" spans="1:7" ht="15.75" x14ac:dyDescent="0.25">
      <c r="A12" s="59" t="s">
        <v>35</v>
      </c>
      <c r="B12" s="64" t="s">
        <v>118</v>
      </c>
      <c r="C12" s="65"/>
    </row>
    <row r="14" spans="1:7" ht="15.75" x14ac:dyDescent="0.25">
      <c r="A14" s="60" t="s">
        <v>27</v>
      </c>
      <c r="B14" s="163" t="s">
        <v>38</v>
      </c>
      <c r="C14" s="164"/>
      <c r="D14" s="60" t="s">
        <v>39</v>
      </c>
      <c r="E14" s="60" t="s">
        <v>25</v>
      </c>
      <c r="F14" s="60" t="s">
        <v>26</v>
      </c>
      <c r="G14" s="60" t="s">
        <v>36</v>
      </c>
    </row>
    <row r="15" spans="1:7" x14ac:dyDescent="0.2">
      <c r="A15" s="61">
        <v>1</v>
      </c>
      <c r="B15" s="158" t="s">
        <v>97</v>
      </c>
      <c r="C15" s="159"/>
      <c r="D15" s="61"/>
      <c r="E15" s="66">
        <v>2</v>
      </c>
      <c r="F15" s="66" t="s">
        <v>81</v>
      </c>
      <c r="G15" s="67" t="s">
        <v>98</v>
      </c>
    </row>
    <row r="16" spans="1:7" x14ac:dyDescent="0.2">
      <c r="A16" s="61">
        <v>2</v>
      </c>
      <c r="B16" s="158" t="s">
        <v>99</v>
      </c>
      <c r="C16" s="159"/>
      <c r="D16" s="61"/>
      <c r="E16" s="66">
        <v>2</v>
      </c>
      <c r="F16" s="66" t="s">
        <v>81</v>
      </c>
      <c r="G16" s="67" t="s">
        <v>100</v>
      </c>
    </row>
    <row r="17" spans="1:7" x14ac:dyDescent="0.2">
      <c r="A17" s="61">
        <v>3</v>
      </c>
      <c r="B17" s="158" t="s">
        <v>102</v>
      </c>
      <c r="C17" s="159"/>
      <c r="D17" s="61"/>
      <c r="E17" s="66">
        <v>3</v>
      </c>
      <c r="F17" s="66" t="s">
        <v>103</v>
      </c>
      <c r="G17" s="68" t="s">
        <v>104</v>
      </c>
    </row>
    <row r="18" spans="1:7" x14ac:dyDescent="0.2">
      <c r="A18" s="61">
        <v>4</v>
      </c>
      <c r="B18" s="158" t="s">
        <v>105</v>
      </c>
      <c r="C18" s="159"/>
      <c r="D18" s="61"/>
      <c r="E18" s="66">
        <v>10</v>
      </c>
      <c r="F18" s="66" t="s">
        <v>54</v>
      </c>
      <c r="G18" s="68" t="s">
        <v>106</v>
      </c>
    </row>
    <row r="19" spans="1:7" x14ac:dyDescent="0.2">
      <c r="A19" s="61">
        <v>5</v>
      </c>
      <c r="B19" s="158" t="s">
        <v>107</v>
      </c>
      <c r="C19" s="159"/>
      <c r="D19" s="61"/>
      <c r="E19" s="66">
        <v>1</v>
      </c>
      <c r="F19" s="66" t="s">
        <v>54</v>
      </c>
      <c r="G19" s="69" t="s">
        <v>108</v>
      </c>
    </row>
    <row r="20" spans="1:7" x14ac:dyDescent="0.2">
      <c r="A20" s="61">
        <v>6</v>
      </c>
      <c r="B20" s="158" t="s">
        <v>109</v>
      </c>
      <c r="C20" s="159"/>
      <c r="D20" s="61"/>
      <c r="E20" s="66">
        <v>2</v>
      </c>
      <c r="F20" s="66" t="s">
        <v>54</v>
      </c>
      <c r="G20" s="66" t="s">
        <v>110</v>
      </c>
    </row>
    <row r="21" spans="1:7" x14ac:dyDescent="0.2">
      <c r="A21" s="61">
        <v>7</v>
      </c>
      <c r="B21" s="158" t="s">
        <v>111</v>
      </c>
      <c r="C21" s="159"/>
      <c r="D21" s="61"/>
      <c r="E21" s="66">
        <v>1</v>
      </c>
      <c r="F21" s="66" t="s">
        <v>54</v>
      </c>
      <c r="G21" s="68" t="s">
        <v>112</v>
      </c>
    </row>
    <row r="22" spans="1:7" x14ac:dyDescent="0.2">
      <c r="A22" s="61">
        <v>8</v>
      </c>
      <c r="B22" s="158" t="s">
        <v>113</v>
      </c>
      <c r="C22" s="159"/>
      <c r="D22" s="61"/>
      <c r="E22" s="66">
        <v>2</v>
      </c>
      <c r="F22" s="66" t="s">
        <v>54</v>
      </c>
      <c r="G22" s="69" t="s">
        <v>114</v>
      </c>
    </row>
    <row r="23" spans="1:7" x14ac:dyDescent="0.2">
      <c r="A23" s="61">
        <v>9</v>
      </c>
      <c r="B23" s="158" t="s">
        <v>115</v>
      </c>
      <c r="C23" s="159"/>
      <c r="D23" s="61"/>
      <c r="E23" s="66">
        <v>2</v>
      </c>
      <c r="F23" s="66" t="s">
        <v>54</v>
      </c>
      <c r="G23" s="66" t="s">
        <v>116</v>
      </c>
    </row>
    <row r="25" spans="1:7" s="55" customFormat="1" ht="15.75" x14ac:dyDescent="0.25">
      <c r="B25" s="55" t="s">
        <v>43</v>
      </c>
    </row>
    <row r="26" spans="1:7" s="55" customFormat="1" ht="15.75" x14ac:dyDescent="0.25">
      <c r="A26" s="55" t="s">
        <v>42</v>
      </c>
    </row>
    <row r="28" spans="1:7" ht="15.75" x14ac:dyDescent="0.25">
      <c r="D28" s="55" t="s">
        <v>28</v>
      </c>
      <c r="E28" s="55" t="s">
        <v>101</v>
      </c>
      <c r="F28" s="55"/>
      <c r="G28" s="55"/>
    </row>
    <row r="31" spans="1:7" ht="16.5" thickBot="1" x14ac:dyDescent="0.3">
      <c r="A31" s="70" t="s">
        <v>67</v>
      </c>
      <c r="B31" s="70"/>
      <c r="C31" s="70"/>
      <c r="F31" s="166"/>
      <c r="G31" s="166"/>
    </row>
    <row r="32" spans="1:7" ht="15.75" x14ac:dyDescent="0.25">
      <c r="A32" s="162" t="s">
        <v>31</v>
      </c>
      <c r="B32" s="162"/>
      <c r="C32" s="162"/>
      <c r="F32" s="167" t="s">
        <v>96</v>
      </c>
      <c r="G32" s="167"/>
    </row>
    <row r="33" spans="4:7" ht="15" customHeight="1" x14ac:dyDescent="0.25">
      <c r="F33" s="165" t="s">
        <v>6</v>
      </c>
      <c r="G33" s="165"/>
    </row>
    <row r="34" spans="4:7" ht="15" customHeight="1" x14ac:dyDescent="0.25">
      <c r="F34" s="165" t="s">
        <v>29</v>
      </c>
      <c r="G34" s="165"/>
    </row>
    <row r="36" spans="4:7" ht="15.75" x14ac:dyDescent="0.25">
      <c r="D36" s="165" t="s">
        <v>40</v>
      </c>
      <c r="E36" s="165"/>
      <c r="F36" s="165"/>
    </row>
    <row r="38" spans="4:7" ht="15.75" thickBot="1" x14ac:dyDescent="0.25">
      <c r="D38" s="166"/>
      <c r="E38" s="166"/>
      <c r="F38" s="166"/>
    </row>
    <row r="39" spans="4:7" ht="15.75" x14ac:dyDescent="0.25">
      <c r="D39" s="167" t="s">
        <v>85</v>
      </c>
      <c r="E39" s="167"/>
      <c r="F39" s="167"/>
    </row>
    <row r="40" spans="4:7" ht="15.75" x14ac:dyDescent="0.25">
      <c r="D40" s="165" t="s">
        <v>6</v>
      </c>
      <c r="E40" s="165"/>
      <c r="F40" s="165"/>
    </row>
    <row r="41" spans="4:7" ht="15.75" x14ac:dyDescent="0.25">
      <c r="D41" s="165" t="s">
        <v>45</v>
      </c>
      <c r="E41" s="165"/>
      <c r="F41" s="165"/>
    </row>
    <row r="42" spans="4:7" ht="15.75" x14ac:dyDescent="0.25">
      <c r="E42" s="72" t="s">
        <v>90</v>
      </c>
    </row>
  </sheetData>
  <mergeCells count="23">
    <mergeCell ref="D41:F41"/>
    <mergeCell ref="F31:G31"/>
    <mergeCell ref="A32:C32"/>
    <mergeCell ref="F32:G32"/>
    <mergeCell ref="F33:G33"/>
    <mergeCell ref="F34:G34"/>
    <mergeCell ref="B23:C23"/>
    <mergeCell ref="D36:F36"/>
    <mergeCell ref="D38:F38"/>
    <mergeCell ref="D39:F39"/>
    <mergeCell ref="D40:F40"/>
    <mergeCell ref="B22:C22"/>
    <mergeCell ref="A6:G6"/>
    <mergeCell ref="A9:B9"/>
    <mergeCell ref="C9:D9"/>
    <mergeCell ref="B14:C14"/>
    <mergeCell ref="B15:C15"/>
    <mergeCell ref="B16:C16"/>
    <mergeCell ref="B17:C17"/>
    <mergeCell ref="B18:C18"/>
    <mergeCell ref="B19:C19"/>
    <mergeCell ref="B20:C20"/>
    <mergeCell ref="B21:C21"/>
  </mergeCells>
  <pageMargins left="0.39370078740157483" right="0.39370078740157483" top="0.19685039370078741" bottom="0.19685039370078741" header="0" footer="0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06"/>
  <sheetViews>
    <sheetView tabSelected="1" topLeftCell="B16" zoomScale="120" zoomScaleNormal="120" workbookViewId="0">
      <selection activeCell="F29" sqref="F29"/>
    </sheetView>
  </sheetViews>
  <sheetFormatPr baseColWidth="10" defaultRowHeight="12.75" x14ac:dyDescent="0.2"/>
  <cols>
    <col min="1" max="1" width="2.5703125" hidden="1" customWidth="1"/>
    <col min="2" max="2" width="2.5703125" customWidth="1"/>
    <col min="3" max="3" width="7" customWidth="1"/>
    <col min="4" max="4" width="7.140625" customWidth="1"/>
    <col min="5" max="5" width="6.5703125" customWidth="1"/>
    <col min="6" max="6" width="61.28515625" bestFit="1" customWidth="1"/>
    <col min="7" max="7" width="10.7109375" customWidth="1"/>
    <col min="8" max="8" width="14.85546875" customWidth="1"/>
    <col min="9" max="9" width="0.5703125" customWidth="1"/>
    <col min="10" max="10" width="5" customWidth="1"/>
  </cols>
  <sheetData>
    <row r="1" spans="1:13" x14ac:dyDescent="0.2">
      <c r="A1" s="155" t="s">
        <v>0</v>
      </c>
      <c r="B1" s="155"/>
      <c r="C1" s="155"/>
      <c r="D1" s="155"/>
      <c r="E1" s="155"/>
      <c r="F1" s="83"/>
      <c r="G1" s="83"/>
      <c r="H1" s="83"/>
    </row>
    <row r="2" spans="1:13" x14ac:dyDescent="0.2">
      <c r="A2" s="156" t="s">
        <v>8</v>
      </c>
      <c r="B2" s="156"/>
      <c r="C2" s="156"/>
      <c r="D2" s="156"/>
      <c r="E2" s="156"/>
      <c r="F2" s="83"/>
      <c r="G2" s="83"/>
      <c r="H2" s="84"/>
    </row>
    <row r="3" spans="1:13" x14ac:dyDescent="0.2">
      <c r="A3" s="156" t="s">
        <v>7</v>
      </c>
      <c r="B3" s="156"/>
      <c r="C3" s="156"/>
      <c r="D3" s="156"/>
      <c r="E3" s="156"/>
      <c r="F3" s="83"/>
      <c r="G3" s="138" t="s">
        <v>174</v>
      </c>
      <c r="H3" s="138" t="s">
        <v>175</v>
      </c>
    </row>
    <row r="4" spans="1:13" ht="13.5" x14ac:dyDescent="0.25">
      <c r="A4" s="155"/>
      <c r="B4" s="155"/>
      <c r="C4" s="155"/>
      <c r="D4" s="155"/>
      <c r="E4" s="155"/>
      <c r="F4" s="83"/>
      <c r="G4" s="85"/>
      <c r="H4" s="4"/>
    </row>
    <row r="5" spans="1:13" ht="18" customHeight="1" x14ac:dyDescent="0.3">
      <c r="A5" s="86"/>
      <c r="B5" s="86"/>
      <c r="C5" s="174" t="s">
        <v>167</v>
      </c>
      <c r="D5" s="174"/>
      <c r="E5" s="174"/>
      <c r="F5" s="174"/>
      <c r="G5" s="174"/>
      <c r="H5" s="174"/>
    </row>
    <row r="6" spans="1:13" x14ac:dyDescent="0.2">
      <c r="A6" s="86"/>
      <c r="B6" s="86"/>
      <c r="C6" s="83"/>
      <c r="D6" s="83"/>
      <c r="E6" s="83"/>
      <c r="F6" s="83"/>
      <c r="G6" s="83"/>
      <c r="H6" s="83"/>
      <c r="I6" s="3"/>
    </row>
    <row r="7" spans="1:13" ht="12.75" customHeight="1" x14ac:dyDescent="0.2">
      <c r="A7" s="86"/>
      <c r="B7" s="86"/>
      <c r="C7" s="103"/>
      <c r="D7" s="83"/>
      <c r="E7" s="83"/>
      <c r="F7" s="104" t="s">
        <v>177</v>
      </c>
      <c r="G7" s="146">
        <v>46288</v>
      </c>
      <c r="H7" s="83"/>
      <c r="I7" s="3"/>
    </row>
    <row r="8" spans="1:13" ht="22.5" customHeight="1" x14ac:dyDescent="0.2">
      <c r="A8" s="86"/>
      <c r="B8" s="86"/>
      <c r="C8" s="103"/>
      <c r="D8" s="83"/>
      <c r="E8" s="83"/>
      <c r="F8" s="104"/>
      <c r="G8" s="87"/>
      <c r="H8" s="4"/>
      <c r="I8" s="3"/>
    </row>
    <row r="9" spans="1:13" x14ac:dyDescent="0.2">
      <c r="A9" s="86"/>
      <c r="B9" s="173" t="s">
        <v>162</v>
      </c>
      <c r="C9" s="173"/>
      <c r="D9" s="173"/>
      <c r="E9" s="173"/>
      <c r="F9" s="173"/>
      <c r="G9" s="173"/>
      <c r="H9" s="173"/>
      <c r="I9" s="83"/>
      <c r="J9" s="83"/>
      <c r="K9" s="83"/>
      <c r="M9" s="126"/>
    </row>
    <row r="10" spans="1:13" ht="13.5" thickBot="1" x14ac:dyDescent="0.25">
      <c r="A10" s="86"/>
      <c r="B10" s="173"/>
      <c r="C10" s="173"/>
      <c r="D10" s="173"/>
      <c r="E10" s="173"/>
      <c r="F10" s="173"/>
      <c r="G10" s="173"/>
      <c r="H10" s="173"/>
      <c r="I10" s="3"/>
    </row>
    <row r="11" spans="1:13" ht="13.5" thickBot="1" x14ac:dyDescent="0.25">
      <c r="A11" s="86"/>
      <c r="B11" s="86"/>
      <c r="C11" s="109" t="s">
        <v>19</v>
      </c>
      <c r="D11" s="110" t="s">
        <v>5</v>
      </c>
      <c r="E11" s="110" t="s">
        <v>170</v>
      </c>
      <c r="F11" s="110" t="s">
        <v>152</v>
      </c>
      <c r="G11" s="110" t="s">
        <v>153</v>
      </c>
      <c r="H11" s="111" t="s">
        <v>154</v>
      </c>
      <c r="M11" s="120"/>
    </row>
    <row r="12" spans="1:13" x14ac:dyDescent="0.2">
      <c r="A12" s="86"/>
      <c r="B12" s="86"/>
      <c r="C12" s="117">
        <v>1</v>
      </c>
      <c r="D12" s="112">
        <v>60</v>
      </c>
      <c r="E12" s="116" t="s">
        <v>54</v>
      </c>
      <c r="F12" s="145" t="s">
        <v>178</v>
      </c>
      <c r="G12" s="105">
        <f>K12/1.19</f>
        <v>0</v>
      </c>
      <c r="H12" s="105">
        <f t="shared" ref="H12:H33" si="0">G12*D12</f>
        <v>0</v>
      </c>
      <c r="I12" s="3"/>
    </row>
    <row r="13" spans="1:13" x14ac:dyDescent="0.2">
      <c r="A13" s="86"/>
      <c r="B13" s="86"/>
      <c r="C13" s="117">
        <v>2</v>
      </c>
      <c r="D13" s="112">
        <v>6</v>
      </c>
      <c r="E13" s="116" t="s">
        <v>54</v>
      </c>
      <c r="F13" s="145" t="s">
        <v>179</v>
      </c>
      <c r="G13" s="105">
        <f t="shared" ref="G13:G33" si="1">K13/1.19</f>
        <v>0</v>
      </c>
      <c r="H13" s="105">
        <f t="shared" si="0"/>
        <v>0</v>
      </c>
      <c r="I13" s="3"/>
    </row>
    <row r="14" spans="1:13" x14ac:dyDescent="0.2">
      <c r="A14" s="86"/>
      <c r="B14" s="86"/>
      <c r="C14" s="117">
        <v>3</v>
      </c>
      <c r="D14" s="112">
        <v>8</v>
      </c>
      <c r="E14" s="116" t="s">
        <v>54</v>
      </c>
      <c r="F14" s="145" t="s">
        <v>180</v>
      </c>
      <c r="G14" s="105">
        <f t="shared" si="1"/>
        <v>0</v>
      </c>
      <c r="H14" s="105">
        <f t="shared" si="0"/>
        <v>0</v>
      </c>
      <c r="I14" s="3"/>
    </row>
    <row r="15" spans="1:13" x14ac:dyDescent="0.2">
      <c r="A15" s="86"/>
      <c r="B15" s="86"/>
      <c r="C15" s="117">
        <v>4</v>
      </c>
      <c r="D15" s="112">
        <v>3</v>
      </c>
      <c r="E15" s="116" t="s">
        <v>54</v>
      </c>
      <c r="F15" s="145" t="s">
        <v>181</v>
      </c>
      <c r="G15" s="105">
        <f t="shared" si="1"/>
        <v>0</v>
      </c>
      <c r="H15" s="105">
        <f t="shared" si="0"/>
        <v>0</v>
      </c>
      <c r="I15" s="3"/>
    </row>
    <row r="16" spans="1:13" x14ac:dyDescent="0.2">
      <c r="A16" s="86"/>
      <c r="B16" s="86"/>
      <c r="C16" s="117">
        <v>5</v>
      </c>
      <c r="D16" s="112">
        <v>2</v>
      </c>
      <c r="E16" s="116" t="s">
        <v>54</v>
      </c>
      <c r="F16" s="145" t="s">
        <v>182</v>
      </c>
      <c r="G16" s="105">
        <f t="shared" si="1"/>
        <v>0</v>
      </c>
      <c r="H16" s="105">
        <f t="shared" si="0"/>
        <v>0</v>
      </c>
      <c r="I16" s="3"/>
    </row>
    <row r="17" spans="1:9" x14ac:dyDescent="0.2">
      <c r="A17" s="86"/>
      <c r="B17" s="86"/>
      <c r="C17" s="117">
        <v>6</v>
      </c>
      <c r="D17" s="112">
        <v>2</v>
      </c>
      <c r="E17" s="116" t="s">
        <v>176</v>
      </c>
      <c r="F17" s="145" t="s">
        <v>183</v>
      </c>
      <c r="G17" s="105">
        <f t="shared" si="1"/>
        <v>0</v>
      </c>
      <c r="H17" s="105">
        <f t="shared" si="0"/>
        <v>0</v>
      </c>
      <c r="I17" s="3"/>
    </row>
    <row r="18" spans="1:9" x14ac:dyDescent="0.2">
      <c r="A18" s="86"/>
      <c r="B18" s="86"/>
      <c r="C18" s="117">
        <v>7</v>
      </c>
      <c r="D18" s="112">
        <v>2</v>
      </c>
      <c r="E18" s="116" t="s">
        <v>176</v>
      </c>
      <c r="F18" s="145" t="s">
        <v>184</v>
      </c>
      <c r="G18" s="105">
        <f t="shared" si="1"/>
        <v>0</v>
      </c>
      <c r="H18" s="105">
        <f t="shared" si="0"/>
        <v>0</v>
      </c>
      <c r="I18" s="3"/>
    </row>
    <row r="19" spans="1:9" x14ac:dyDescent="0.2">
      <c r="A19" s="86"/>
      <c r="B19" s="86"/>
      <c r="C19" s="117">
        <v>8</v>
      </c>
      <c r="D19" s="112">
        <v>2</v>
      </c>
      <c r="E19" s="116" t="s">
        <v>54</v>
      </c>
      <c r="F19" s="145" t="s">
        <v>185</v>
      </c>
      <c r="G19" s="105">
        <f t="shared" si="1"/>
        <v>0</v>
      </c>
      <c r="H19" s="105">
        <f t="shared" si="0"/>
        <v>0</v>
      </c>
      <c r="I19" s="3"/>
    </row>
    <row r="20" spans="1:9" x14ac:dyDescent="0.2">
      <c r="A20" s="86"/>
      <c r="B20" s="86"/>
      <c r="C20" s="117">
        <v>9</v>
      </c>
      <c r="D20" s="112">
        <v>2</v>
      </c>
      <c r="E20" s="116" t="s">
        <v>176</v>
      </c>
      <c r="F20" s="145" t="s">
        <v>186</v>
      </c>
      <c r="G20" s="105">
        <f t="shared" si="1"/>
        <v>0</v>
      </c>
      <c r="H20" s="105">
        <f t="shared" si="0"/>
        <v>0</v>
      </c>
      <c r="I20" s="3"/>
    </row>
    <row r="21" spans="1:9" x14ac:dyDescent="0.2">
      <c r="A21" s="86"/>
      <c r="B21" s="86"/>
      <c r="C21" s="117">
        <v>10</v>
      </c>
      <c r="D21" s="112">
        <v>4</v>
      </c>
      <c r="E21" s="116" t="s">
        <v>176</v>
      </c>
      <c r="F21" s="145" t="s">
        <v>187</v>
      </c>
      <c r="G21" s="105">
        <f t="shared" si="1"/>
        <v>0</v>
      </c>
      <c r="H21" s="105">
        <f t="shared" si="0"/>
        <v>0</v>
      </c>
      <c r="I21" s="3"/>
    </row>
    <row r="22" spans="1:9" x14ac:dyDescent="0.2">
      <c r="A22" s="86"/>
      <c r="B22" s="86"/>
      <c r="C22" s="117">
        <v>11</v>
      </c>
      <c r="D22" s="112">
        <v>10</v>
      </c>
      <c r="E22" s="116" t="s">
        <v>54</v>
      </c>
      <c r="F22" s="145" t="s">
        <v>188</v>
      </c>
      <c r="G22" s="105">
        <f t="shared" si="1"/>
        <v>0</v>
      </c>
      <c r="H22" s="105">
        <f t="shared" si="0"/>
        <v>0</v>
      </c>
      <c r="I22" s="3"/>
    </row>
    <row r="23" spans="1:9" ht="24" x14ac:dyDescent="0.2">
      <c r="A23" s="86"/>
      <c r="B23" s="86"/>
      <c r="C23" s="117">
        <v>12</v>
      </c>
      <c r="D23" s="112">
        <v>6</v>
      </c>
      <c r="E23" s="116" t="s">
        <v>54</v>
      </c>
      <c r="F23" s="145" t="s">
        <v>189</v>
      </c>
      <c r="G23" s="105">
        <f t="shared" si="1"/>
        <v>0</v>
      </c>
      <c r="H23" s="105">
        <f t="shared" si="0"/>
        <v>0</v>
      </c>
      <c r="I23" s="3"/>
    </row>
    <row r="24" spans="1:9" x14ac:dyDescent="0.2">
      <c r="A24" s="86"/>
      <c r="B24" s="86"/>
      <c r="C24" s="117">
        <v>13</v>
      </c>
      <c r="D24" s="120">
        <v>2</v>
      </c>
      <c r="E24" s="116" t="s">
        <v>54</v>
      </c>
      <c r="F24" s="145" t="s">
        <v>190</v>
      </c>
      <c r="G24" s="105">
        <f t="shared" si="1"/>
        <v>0</v>
      </c>
      <c r="H24" s="105">
        <f t="shared" si="0"/>
        <v>0</v>
      </c>
      <c r="I24" s="3"/>
    </row>
    <row r="25" spans="1:9" x14ac:dyDescent="0.2">
      <c r="A25" s="86"/>
      <c r="B25" s="86"/>
      <c r="C25" s="117">
        <v>14</v>
      </c>
      <c r="D25" s="119">
        <v>1</v>
      </c>
      <c r="E25" s="118" t="s">
        <v>176</v>
      </c>
      <c r="F25" s="144" t="s">
        <v>191</v>
      </c>
      <c r="G25" s="105">
        <f t="shared" si="1"/>
        <v>0</v>
      </c>
      <c r="H25" s="105">
        <f t="shared" si="0"/>
        <v>0</v>
      </c>
      <c r="I25" s="3"/>
    </row>
    <row r="26" spans="1:9" ht="24" x14ac:dyDescent="0.2">
      <c r="A26" s="86"/>
      <c r="B26" s="86"/>
      <c r="C26" s="117">
        <v>15</v>
      </c>
      <c r="D26" s="124">
        <v>1</v>
      </c>
      <c r="E26" s="125" t="s">
        <v>176</v>
      </c>
      <c r="F26" s="123" t="s">
        <v>192</v>
      </c>
      <c r="G26" s="105">
        <f t="shared" si="1"/>
        <v>0</v>
      </c>
      <c r="H26" s="105">
        <f t="shared" si="0"/>
        <v>0</v>
      </c>
      <c r="I26" s="3"/>
    </row>
    <row r="27" spans="1:9" x14ac:dyDescent="0.2">
      <c r="A27" s="86"/>
      <c r="B27" s="86"/>
      <c r="C27" s="117">
        <v>16</v>
      </c>
      <c r="D27" s="124">
        <v>1</v>
      </c>
      <c r="E27" s="125" t="s">
        <v>176</v>
      </c>
      <c r="F27" s="123" t="s">
        <v>193</v>
      </c>
      <c r="G27" s="105">
        <f t="shared" si="1"/>
        <v>0</v>
      </c>
      <c r="H27" s="105">
        <f t="shared" si="0"/>
        <v>0</v>
      </c>
      <c r="I27" s="3"/>
    </row>
    <row r="28" spans="1:9" x14ac:dyDescent="0.2">
      <c r="A28" s="86"/>
      <c r="B28" s="86"/>
      <c r="C28" s="117">
        <v>17</v>
      </c>
      <c r="D28" s="124">
        <v>1</v>
      </c>
      <c r="E28" s="125" t="s">
        <v>54</v>
      </c>
      <c r="F28" s="123" t="s">
        <v>194</v>
      </c>
      <c r="G28" s="105">
        <f t="shared" si="1"/>
        <v>0</v>
      </c>
      <c r="H28" s="105">
        <f t="shared" si="0"/>
        <v>0</v>
      </c>
      <c r="I28" s="3"/>
    </row>
    <row r="29" spans="1:9" x14ac:dyDescent="0.2">
      <c r="A29" s="86"/>
      <c r="B29" s="86"/>
      <c r="C29" s="117"/>
      <c r="D29" s="124">
        <v>1</v>
      </c>
      <c r="E29" s="125" t="s">
        <v>176</v>
      </c>
      <c r="F29" s="123" t="s">
        <v>195</v>
      </c>
      <c r="G29" s="105">
        <f t="shared" si="1"/>
        <v>0</v>
      </c>
      <c r="H29" s="105">
        <f t="shared" si="0"/>
        <v>0</v>
      </c>
      <c r="I29" s="3"/>
    </row>
    <row r="30" spans="1:9" ht="24" x14ac:dyDescent="0.2">
      <c r="A30" s="86"/>
      <c r="B30" s="86"/>
      <c r="C30" s="117"/>
      <c r="D30" s="124">
        <v>1</v>
      </c>
      <c r="E30" s="125" t="s">
        <v>54</v>
      </c>
      <c r="F30" s="123" t="s">
        <v>196</v>
      </c>
      <c r="G30" s="105">
        <f t="shared" si="1"/>
        <v>0</v>
      </c>
      <c r="H30" s="105">
        <f t="shared" si="0"/>
        <v>0</v>
      </c>
      <c r="I30" s="3"/>
    </row>
    <row r="31" spans="1:9" ht="36" x14ac:dyDescent="0.2">
      <c r="A31" s="86"/>
      <c r="B31" s="86"/>
      <c r="C31" s="117">
        <v>18</v>
      </c>
      <c r="D31" s="124">
        <v>2</v>
      </c>
      <c r="E31" s="125" t="s">
        <v>176</v>
      </c>
      <c r="F31" s="123" t="s">
        <v>197</v>
      </c>
      <c r="G31" s="105">
        <f t="shared" si="1"/>
        <v>0</v>
      </c>
      <c r="H31" s="105">
        <f t="shared" si="0"/>
        <v>0</v>
      </c>
      <c r="I31" s="3"/>
    </row>
    <row r="32" spans="1:9" x14ac:dyDescent="0.2">
      <c r="A32" s="86"/>
      <c r="B32" s="86"/>
      <c r="C32" s="117">
        <v>19</v>
      </c>
      <c r="D32" s="124">
        <v>1</v>
      </c>
      <c r="E32" s="125" t="s">
        <v>176</v>
      </c>
      <c r="F32" s="123" t="s">
        <v>198</v>
      </c>
      <c r="G32" s="105">
        <f t="shared" si="1"/>
        <v>0</v>
      </c>
      <c r="H32" s="105">
        <f t="shared" si="0"/>
        <v>0</v>
      </c>
      <c r="I32" s="3"/>
    </row>
    <row r="33" spans="1:9" x14ac:dyDescent="0.2">
      <c r="A33" s="86"/>
      <c r="B33" s="86"/>
      <c r="C33" s="117">
        <v>20</v>
      </c>
      <c r="D33" s="124"/>
      <c r="E33" s="125"/>
      <c r="F33" s="123"/>
      <c r="G33" s="105">
        <f t="shared" si="1"/>
        <v>0</v>
      </c>
      <c r="H33" s="105">
        <f t="shared" si="0"/>
        <v>0</v>
      </c>
      <c r="I33" s="3"/>
    </row>
    <row r="34" spans="1:9" x14ac:dyDescent="0.2">
      <c r="A34" s="86"/>
      <c r="B34" s="86"/>
      <c r="C34" s="143"/>
      <c r="G34" s="106" t="s">
        <v>155</v>
      </c>
      <c r="H34" s="107">
        <f>SUM(H12:H33)</f>
        <v>0</v>
      </c>
      <c r="I34" s="3"/>
    </row>
    <row r="35" spans="1:9" ht="13.5" thickBot="1" x14ac:dyDescent="0.25">
      <c r="A35" s="86"/>
      <c r="B35" s="86"/>
      <c r="E35" s="175" t="s">
        <v>199</v>
      </c>
      <c r="F35" s="176" t="s">
        <v>200</v>
      </c>
      <c r="G35" s="121" t="s">
        <v>156</v>
      </c>
      <c r="H35" s="105">
        <f>H34*19%</f>
        <v>0</v>
      </c>
      <c r="I35" s="3"/>
    </row>
    <row r="36" spans="1:9" ht="13.5" thickBot="1" x14ac:dyDescent="0.25">
      <c r="A36" s="86"/>
      <c r="B36" s="86"/>
      <c r="F36" s="122" t="s">
        <v>163</v>
      </c>
      <c r="G36" s="129" t="s">
        <v>154</v>
      </c>
      <c r="H36" s="107">
        <f>SUM(H34:H35)</f>
        <v>0</v>
      </c>
      <c r="I36" s="3"/>
    </row>
    <row r="37" spans="1:9" x14ac:dyDescent="0.2">
      <c r="A37" s="86"/>
      <c r="B37" s="86"/>
      <c r="G37" s="4"/>
      <c r="H37" s="114"/>
      <c r="I37" s="3"/>
    </row>
    <row r="38" spans="1:9" x14ac:dyDescent="0.2">
      <c r="A38" s="86"/>
      <c r="B38" s="86"/>
      <c r="D38" s="87"/>
      <c r="E38" s="82"/>
      <c r="F38" s="115"/>
      <c r="I38" s="3"/>
    </row>
    <row r="39" spans="1:9" x14ac:dyDescent="0.2">
      <c r="A39" s="86"/>
      <c r="B39" s="86"/>
      <c r="C39" s="87"/>
      <c r="D39" s="139"/>
      <c r="E39" s="139"/>
      <c r="F39" s="82"/>
      <c r="H39" s="83"/>
      <c r="I39" s="3"/>
    </row>
    <row r="40" spans="1:9" ht="13.5" thickBot="1" x14ac:dyDescent="0.25">
      <c r="A40" s="86"/>
      <c r="B40" s="86"/>
      <c r="C40" s="139" t="s">
        <v>157</v>
      </c>
      <c r="D40" s="87"/>
      <c r="E40" s="82"/>
      <c r="F40" s="136" t="s">
        <v>171</v>
      </c>
      <c r="H40" s="83"/>
      <c r="I40" s="3"/>
    </row>
    <row r="41" spans="1:9" x14ac:dyDescent="0.2">
      <c r="A41" s="86"/>
      <c r="B41" s="86"/>
      <c r="C41" s="87"/>
      <c r="D41" s="139"/>
      <c r="E41" s="139"/>
      <c r="F41" s="113"/>
      <c r="G41" s="102"/>
      <c r="H41" s="83"/>
      <c r="I41" s="3"/>
    </row>
    <row r="42" spans="1:9" ht="13.5" thickBot="1" x14ac:dyDescent="0.25">
      <c r="A42" s="86"/>
      <c r="B42" s="86"/>
      <c r="C42" s="139" t="s">
        <v>158</v>
      </c>
      <c r="D42" s="87"/>
      <c r="E42" s="82"/>
      <c r="F42" s="137" t="s">
        <v>171</v>
      </c>
      <c r="G42" s="102"/>
      <c r="H42" s="83"/>
      <c r="I42" s="3"/>
    </row>
    <row r="43" spans="1:9" x14ac:dyDescent="0.2">
      <c r="A43" s="86"/>
      <c r="B43" s="86"/>
      <c r="C43" s="87"/>
      <c r="D43" s="139"/>
      <c r="E43" s="139"/>
      <c r="F43" s="82"/>
      <c r="I43" s="3"/>
    </row>
    <row r="44" spans="1:9" ht="13.5" thickBot="1" x14ac:dyDescent="0.25">
      <c r="A44" s="86"/>
      <c r="B44" s="86"/>
      <c r="C44" s="139" t="s">
        <v>159</v>
      </c>
      <c r="D44" s="87"/>
      <c r="E44" s="83"/>
      <c r="F44" s="137" t="s">
        <v>171</v>
      </c>
    </row>
    <row r="45" spans="1:9" x14ac:dyDescent="0.2">
      <c r="A45" s="86"/>
      <c r="B45" s="86"/>
      <c r="C45" s="83"/>
      <c r="D45" s="139"/>
      <c r="E45" s="139"/>
      <c r="F45" s="102"/>
      <c r="G45" s="102"/>
      <c r="H45" s="102"/>
    </row>
    <row r="46" spans="1:9" ht="13.5" thickBot="1" x14ac:dyDescent="0.25">
      <c r="A46" s="86"/>
      <c r="B46" s="86"/>
      <c r="C46" s="139" t="s">
        <v>160</v>
      </c>
      <c r="D46" s="87"/>
      <c r="E46" s="91"/>
      <c r="F46" s="137" t="s">
        <v>171</v>
      </c>
      <c r="G46" s="102"/>
      <c r="H46" s="102"/>
    </row>
    <row r="47" spans="1:9" ht="12.75" customHeight="1" x14ac:dyDescent="0.2">
      <c r="A47" s="86"/>
      <c r="B47" s="86"/>
      <c r="C47" s="83"/>
      <c r="D47" s="139"/>
      <c r="E47" s="139"/>
      <c r="F47" s="102"/>
      <c r="G47" s="102"/>
      <c r="H47" s="102"/>
    </row>
    <row r="48" spans="1:9" ht="13.5" customHeight="1" thickBot="1" x14ac:dyDescent="0.25">
      <c r="A48" s="82"/>
      <c r="B48" s="82"/>
      <c r="C48" s="139" t="s">
        <v>161</v>
      </c>
      <c r="D48" s="83"/>
      <c r="E48" s="83"/>
      <c r="F48" s="137" t="s">
        <v>171</v>
      </c>
      <c r="G48" s="102"/>
      <c r="H48" s="102"/>
    </row>
    <row r="49" spans="1:8" ht="13.5" thickBot="1" x14ac:dyDescent="0.25">
      <c r="A49" s="108"/>
      <c r="B49" s="108"/>
      <c r="C49" s="83"/>
      <c r="D49" s="140" t="s">
        <v>164</v>
      </c>
      <c r="E49" s="141"/>
      <c r="F49" s="102"/>
      <c r="G49" s="155"/>
      <c r="H49" s="155"/>
    </row>
    <row r="50" spans="1:8" x14ac:dyDescent="0.2">
      <c r="A50" s="108"/>
      <c r="B50" s="108"/>
      <c r="C50" s="83"/>
      <c r="D50" s="130"/>
      <c r="E50" s="86"/>
      <c r="F50" s="142"/>
      <c r="G50" s="86"/>
      <c r="H50" s="83"/>
    </row>
    <row r="51" spans="1:8" x14ac:dyDescent="0.2">
      <c r="A51" s="82"/>
      <c r="B51" s="82"/>
      <c r="C51" s="83"/>
      <c r="D51" s="168" t="s">
        <v>165</v>
      </c>
      <c r="E51" s="169"/>
      <c r="F51" s="131"/>
      <c r="G51" s="86"/>
      <c r="H51" s="83"/>
    </row>
    <row r="52" spans="1:8" ht="13.5" thickBot="1" x14ac:dyDescent="0.25">
      <c r="A52" s="86"/>
      <c r="B52" s="86"/>
      <c r="C52" s="83"/>
      <c r="D52" s="133"/>
      <c r="E52" s="103"/>
      <c r="F52" s="137" t="s">
        <v>171</v>
      </c>
      <c r="G52" s="83"/>
      <c r="H52" s="83"/>
    </row>
    <row r="53" spans="1:8" x14ac:dyDescent="0.2">
      <c r="A53" s="86"/>
      <c r="B53" s="86"/>
      <c r="C53" s="83"/>
      <c r="D53" s="170" t="s">
        <v>166</v>
      </c>
      <c r="E53" s="171"/>
      <c r="F53" s="134"/>
      <c r="G53" s="83"/>
      <c r="H53" s="83"/>
    </row>
    <row r="54" spans="1:8" ht="13.5" thickBot="1" x14ac:dyDescent="0.25">
      <c r="A54" s="86"/>
      <c r="B54" s="86"/>
      <c r="C54" s="83"/>
      <c r="D54" s="135"/>
      <c r="E54" s="127"/>
      <c r="F54" s="137" t="s">
        <v>171</v>
      </c>
      <c r="G54" s="86"/>
      <c r="H54" s="86"/>
    </row>
    <row r="55" spans="1:8" ht="13.5" thickBot="1" x14ac:dyDescent="0.25">
      <c r="A55" s="86"/>
      <c r="B55" s="86"/>
      <c r="C55" s="86"/>
      <c r="D55" s="82"/>
      <c r="E55" s="82"/>
      <c r="F55" s="132"/>
      <c r="G55" s="83"/>
      <c r="H55" s="83"/>
    </row>
    <row r="56" spans="1:8" x14ac:dyDescent="0.2">
      <c r="A56" s="86"/>
      <c r="B56" s="86"/>
      <c r="C56" s="82"/>
      <c r="D56" s="108"/>
      <c r="E56" s="108"/>
      <c r="F56" s="83"/>
      <c r="G56" s="83"/>
      <c r="H56" s="84"/>
    </row>
    <row r="57" spans="1:8" x14ac:dyDescent="0.2">
      <c r="A57" s="86"/>
      <c r="B57" s="86"/>
      <c r="C57" s="108"/>
      <c r="D57" s="108"/>
      <c r="E57" s="108"/>
      <c r="F57" s="83"/>
      <c r="G57" s="84"/>
      <c r="H57" s="84"/>
    </row>
    <row r="58" spans="1:8" ht="14.25" thickBot="1" x14ac:dyDescent="0.3">
      <c r="A58" s="86"/>
      <c r="B58" s="86"/>
      <c r="C58" s="108"/>
      <c r="D58" s="82"/>
      <c r="E58" s="82"/>
      <c r="F58" s="128"/>
      <c r="G58" s="85"/>
      <c r="H58" s="4"/>
    </row>
    <row r="59" spans="1:8" x14ac:dyDescent="0.2">
      <c r="A59" s="86"/>
      <c r="B59" s="86"/>
      <c r="C59" s="82"/>
      <c r="D59" s="92"/>
      <c r="E59" s="92"/>
      <c r="F59" s="82" t="s">
        <v>172</v>
      </c>
      <c r="G59" s="84"/>
      <c r="H59" s="84"/>
    </row>
    <row r="60" spans="1:8" ht="13.5" thickBot="1" x14ac:dyDescent="0.25">
      <c r="A60" s="86"/>
      <c r="B60" s="86"/>
      <c r="C60" s="92" t="s">
        <v>157</v>
      </c>
      <c r="D60" s="82"/>
      <c r="E60" s="82"/>
      <c r="F60" s="137" t="s">
        <v>171</v>
      </c>
      <c r="G60" s="83"/>
      <c r="H60" s="83"/>
    </row>
    <row r="61" spans="1:8" ht="13.5" thickBot="1" x14ac:dyDescent="0.25">
      <c r="A61" s="86"/>
      <c r="B61" s="86"/>
      <c r="C61" s="82" t="s">
        <v>168</v>
      </c>
      <c r="D61" s="82"/>
      <c r="E61" s="82"/>
      <c r="F61" s="137" t="s">
        <v>171</v>
      </c>
      <c r="G61" s="97"/>
      <c r="H61" s="83"/>
    </row>
    <row r="62" spans="1:8" ht="13.5" thickBot="1" x14ac:dyDescent="0.25">
      <c r="A62" s="86"/>
      <c r="B62" s="86"/>
      <c r="C62" s="82" t="s">
        <v>169</v>
      </c>
      <c r="D62" s="82"/>
      <c r="E62" s="82"/>
      <c r="F62" s="137" t="s">
        <v>171</v>
      </c>
      <c r="G62" s="83"/>
      <c r="H62" s="83"/>
    </row>
    <row r="63" spans="1:8" ht="13.5" thickBot="1" x14ac:dyDescent="0.25">
      <c r="A63" s="86"/>
      <c r="B63" s="86"/>
      <c r="C63" s="82" t="s">
        <v>173</v>
      </c>
      <c r="D63" s="83"/>
      <c r="E63" s="83"/>
      <c r="F63" s="137" t="s">
        <v>171</v>
      </c>
      <c r="G63" s="87"/>
      <c r="H63" s="87"/>
    </row>
    <row r="64" spans="1:8" x14ac:dyDescent="0.2">
      <c r="A64" s="86"/>
      <c r="B64" s="86"/>
      <c r="C64" s="87"/>
      <c r="D64" s="83"/>
      <c r="E64" s="83"/>
      <c r="F64" s="83"/>
      <c r="G64" s="83"/>
      <c r="H64" s="83"/>
    </row>
    <row r="65" spans="1:8" ht="13.5" x14ac:dyDescent="0.25">
      <c r="A65" s="86"/>
      <c r="B65" s="86"/>
      <c r="C65" s="83"/>
      <c r="D65" s="85"/>
      <c r="E65" s="84"/>
      <c r="F65" s="83"/>
      <c r="G65" s="85"/>
      <c r="H65" s="85"/>
    </row>
    <row r="66" spans="1:8" ht="13.5" x14ac:dyDescent="0.25">
      <c r="A66" s="86"/>
      <c r="B66" s="86"/>
      <c r="C66" s="84"/>
      <c r="D66" s="85"/>
      <c r="E66" s="85"/>
      <c r="F66" s="85"/>
      <c r="G66" s="85"/>
      <c r="H66" s="85"/>
    </row>
    <row r="67" spans="1:8" ht="13.5" x14ac:dyDescent="0.25">
      <c r="A67" s="86"/>
      <c r="B67" s="86"/>
      <c r="C67" s="84"/>
      <c r="D67" s="84"/>
      <c r="E67" s="85"/>
      <c r="F67" s="85"/>
      <c r="G67" s="85"/>
      <c r="H67" s="85"/>
    </row>
    <row r="68" spans="1:8" ht="13.5" x14ac:dyDescent="0.25">
      <c r="A68" s="86"/>
      <c r="B68" s="86"/>
      <c r="C68" s="88"/>
      <c r="D68" s="85"/>
      <c r="E68" s="85"/>
      <c r="F68" s="89"/>
      <c r="G68" s="85"/>
      <c r="H68" s="85"/>
    </row>
    <row r="69" spans="1:8" ht="13.5" x14ac:dyDescent="0.25">
      <c r="A69" s="86"/>
      <c r="B69" s="86"/>
      <c r="C69" s="88"/>
      <c r="D69" s="85"/>
      <c r="E69" s="85"/>
      <c r="F69" s="89"/>
      <c r="G69" s="84"/>
      <c r="H69" s="4"/>
    </row>
    <row r="70" spans="1:8" ht="13.5" x14ac:dyDescent="0.25">
      <c r="A70" s="86"/>
      <c r="B70" s="86"/>
      <c r="C70" s="88"/>
      <c r="D70" s="85"/>
      <c r="E70" s="85"/>
      <c r="F70" s="89"/>
      <c r="G70" s="84"/>
      <c r="H70" s="4"/>
    </row>
    <row r="71" spans="1:8" ht="13.5" x14ac:dyDescent="0.25">
      <c r="A71" s="86"/>
      <c r="B71" s="86"/>
      <c r="C71" s="88"/>
      <c r="D71" s="85"/>
      <c r="E71" s="85"/>
      <c r="F71" s="89"/>
      <c r="G71" s="85"/>
      <c r="H71" s="85"/>
    </row>
    <row r="72" spans="1:8" ht="13.5" x14ac:dyDescent="0.25">
      <c r="A72" s="86"/>
      <c r="B72" s="86"/>
      <c r="C72" s="84"/>
      <c r="D72" s="85"/>
      <c r="E72" s="85"/>
      <c r="F72" s="85"/>
      <c r="G72" s="85"/>
      <c r="H72" s="85"/>
    </row>
    <row r="73" spans="1:8" ht="13.5" x14ac:dyDescent="0.25">
      <c r="A73" s="86"/>
      <c r="B73" s="86"/>
      <c r="C73" s="86"/>
      <c r="D73" s="90"/>
      <c r="E73" s="90"/>
      <c r="F73" s="98"/>
      <c r="G73" s="90"/>
      <c r="H73" s="90"/>
    </row>
    <row r="74" spans="1:8" ht="13.5" x14ac:dyDescent="0.25">
      <c r="A74" s="86"/>
      <c r="B74" s="86"/>
      <c r="C74" s="90"/>
      <c r="D74" s="92"/>
      <c r="E74" s="92"/>
      <c r="F74" s="85"/>
      <c r="G74" s="92"/>
      <c r="H74" s="92"/>
    </row>
    <row r="75" spans="1:8" x14ac:dyDescent="0.2">
      <c r="A75" s="86"/>
      <c r="B75" s="86"/>
      <c r="C75" s="92"/>
      <c r="D75" s="100"/>
      <c r="E75" s="96"/>
      <c r="F75" s="92"/>
      <c r="G75" s="86"/>
      <c r="H75" s="86"/>
    </row>
    <row r="76" spans="1:8" x14ac:dyDescent="0.2">
      <c r="A76" s="86"/>
      <c r="B76" s="86"/>
      <c r="C76" s="99"/>
      <c r="D76" s="96"/>
      <c r="E76" s="96"/>
      <c r="F76" s="83"/>
      <c r="G76" s="86"/>
      <c r="H76" s="86"/>
    </row>
    <row r="77" spans="1:8" ht="13.5" x14ac:dyDescent="0.25">
      <c r="A77" s="86"/>
      <c r="B77" s="86"/>
      <c r="C77" s="99"/>
      <c r="D77" s="96"/>
      <c r="E77" s="96"/>
      <c r="F77" s="85"/>
      <c r="G77" s="86"/>
      <c r="H77" s="86"/>
    </row>
    <row r="78" spans="1:8" ht="13.5" x14ac:dyDescent="0.25">
      <c r="A78" s="86"/>
      <c r="B78" s="86"/>
      <c r="C78" s="99"/>
      <c r="D78" s="96"/>
      <c r="E78" s="96"/>
      <c r="F78" s="85"/>
      <c r="G78" s="86"/>
      <c r="H78" s="86"/>
    </row>
    <row r="79" spans="1:8" ht="13.5" x14ac:dyDescent="0.25">
      <c r="A79" s="86"/>
      <c r="B79" s="86"/>
      <c r="C79" s="99"/>
      <c r="D79" s="96"/>
      <c r="E79" s="96"/>
      <c r="F79" s="85"/>
      <c r="G79" s="86"/>
      <c r="H79" s="86"/>
    </row>
    <row r="80" spans="1:8" ht="13.5" x14ac:dyDescent="0.25">
      <c r="A80" s="86"/>
      <c r="B80" s="86"/>
      <c r="C80" s="99"/>
      <c r="D80" s="96"/>
      <c r="E80" s="96"/>
      <c r="F80" s="85"/>
      <c r="G80" s="86"/>
      <c r="H80" s="86"/>
    </row>
    <row r="81" spans="1:8" ht="13.5" x14ac:dyDescent="0.25">
      <c r="A81" s="86"/>
      <c r="B81" s="86"/>
      <c r="C81" s="99"/>
      <c r="D81" s="101"/>
      <c r="E81" s="96"/>
      <c r="F81" s="85"/>
      <c r="G81" s="86"/>
      <c r="H81" s="86"/>
    </row>
    <row r="82" spans="1:8" ht="13.5" x14ac:dyDescent="0.25">
      <c r="A82" s="86"/>
      <c r="B82" s="86"/>
      <c r="C82" s="99"/>
      <c r="D82" s="101"/>
      <c r="E82" s="96"/>
      <c r="F82" s="85"/>
      <c r="G82" s="86"/>
      <c r="H82" s="86"/>
    </row>
    <row r="83" spans="1:8" ht="13.5" x14ac:dyDescent="0.25">
      <c r="A83" s="86"/>
      <c r="B83" s="86"/>
      <c r="C83" s="99"/>
      <c r="D83" s="101"/>
      <c r="E83" s="96"/>
      <c r="F83" s="85"/>
      <c r="G83" s="86"/>
      <c r="H83" s="86"/>
    </row>
    <row r="84" spans="1:8" ht="13.5" x14ac:dyDescent="0.25">
      <c r="A84" s="86"/>
      <c r="B84" s="86"/>
      <c r="C84" s="99"/>
      <c r="D84" s="101"/>
      <c r="E84" s="96"/>
      <c r="F84" s="85"/>
      <c r="G84" s="86"/>
      <c r="H84" s="86"/>
    </row>
    <row r="85" spans="1:8" ht="13.5" x14ac:dyDescent="0.25">
      <c r="A85" s="86"/>
      <c r="B85" s="86"/>
      <c r="C85" s="99"/>
      <c r="D85" s="101"/>
      <c r="E85" s="96"/>
      <c r="F85" s="85"/>
      <c r="G85" s="86"/>
      <c r="H85" s="86"/>
    </row>
    <row r="86" spans="1:8" ht="13.5" x14ac:dyDescent="0.25">
      <c r="A86" s="86"/>
      <c r="B86" s="86"/>
      <c r="C86" s="99"/>
      <c r="D86" s="95"/>
      <c r="E86" s="96"/>
      <c r="F86" s="85"/>
      <c r="G86" s="86"/>
      <c r="H86" s="86"/>
    </row>
    <row r="87" spans="1:8" ht="13.5" x14ac:dyDescent="0.25">
      <c r="A87" s="86"/>
      <c r="B87" s="86"/>
      <c r="C87" s="94"/>
      <c r="D87" s="95"/>
      <c r="E87" s="96"/>
      <c r="F87" s="85"/>
      <c r="G87" s="86"/>
      <c r="H87" s="86"/>
    </row>
    <row r="88" spans="1:8" ht="13.5" x14ac:dyDescent="0.25">
      <c r="A88" s="86"/>
      <c r="B88" s="86"/>
      <c r="C88" s="94"/>
      <c r="D88" s="87"/>
      <c r="E88" s="82"/>
      <c r="F88" s="85"/>
      <c r="G88" s="85"/>
      <c r="H88" s="102"/>
    </row>
    <row r="89" spans="1:8" x14ac:dyDescent="0.2">
      <c r="A89" s="86"/>
      <c r="B89" s="86"/>
      <c r="C89" s="87"/>
      <c r="D89" s="83"/>
      <c r="E89" s="91"/>
      <c r="F89" s="82"/>
      <c r="G89" s="172"/>
      <c r="H89" s="172"/>
    </row>
    <row r="90" spans="1:8" x14ac:dyDescent="0.2">
      <c r="A90" s="86"/>
      <c r="B90" s="86"/>
      <c r="C90" s="83"/>
      <c r="D90" s="83"/>
      <c r="E90" s="91"/>
      <c r="F90" s="83"/>
      <c r="G90" s="92"/>
      <c r="H90" s="92"/>
    </row>
    <row r="91" spans="1:8" x14ac:dyDescent="0.2">
      <c r="A91" s="86"/>
      <c r="B91" s="86"/>
      <c r="C91" s="83"/>
      <c r="D91" s="83"/>
      <c r="E91" s="91"/>
      <c r="F91" s="83"/>
      <c r="G91" s="92"/>
      <c r="H91" s="92"/>
    </row>
    <row r="92" spans="1:8" x14ac:dyDescent="0.2">
      <c r="A92" s="86"/>
      <c r="B92" s="86"/>
      <c r="C92" s="83"/>
      <c r="D92" s="83"/>
      <c r="E92" s="91"/>
      <c r="F92" s="83"/>
      <c r="G92" s="83"/>
      <c r="H92" s="4"/>
    </row>
    <row r="93" spans="1:8" x14ac:dyDescent="0.2">
      <c r="A93" s="86"/>
      <c r="B93" s="86"/>
      <c r="C93" s="83"/>
      <c r="D93" s="83"/>
      <c r="E93" s="91"/>
      <c r="F93" s="83"/>
      <c r="G93" s="155"/>
      <c r="H93" s="155"/>
    </row>
    <row r="94" spans="1:8" x14ac:dyDescent="0.2">
      <c r="A94" s="86"/>
      <c r="B94" s="86"/>
      <c r="C94" s="83"/>
      <c r="D94" s="83"/>
      <c r="E94" s="91"/>
      <c r="F94" s="83"/>
      <c r="G94" s="82"/>
      <c r="H94" s="82"/>
    </row>
    <row r="95" spans="1:8" x14ac:dyDescent="0.2">
      <c r="A95" s="86"/>
      <c r="B95" s="86"/>
      <c r="C95" s="83"/>
      <c r="D95" s="83"/>
      <c r="E95" s="91"/>
      <c r="F95" s="83"/>
      <c r="G95" s="82"/>
      <c r="H95" s="82"/>
    </row>
    <row r="96" spans="1:8" x14ac:dyDescent="0.2">
      <c r="A96" s="86"/>
      <c r="B96" s="86"/>
      <c r="C96" s="83"/>
      <c r="D96" s="83"/>
      <c r="E96" s="83"/>
      <c r="F96" s="83"/>
      <c r="G96" s="155"/>
      <c r="H96" s="155"/>
    </row>
    <row r="97" spans="1:8" x14ac:dyDescent="0.2">
      <c r="A97" s="86"/>
      <c r="B97" s="86"/>
      <c r="C97" s="83"/>
      <c r="D97" s="82"/>
      <c r="E97" s="82"/>
      <c r="F97" s="4"/>
      <c r="G97" s="4"/>
      <c r="H97" s="4"/>
    </row>
    <row r="98" spans="1:8" x14ac:dyDescent="0.2">
      <c r="A98" s="86"/>
      <c r="B98" s="86"/>
      <c r="C98" s="83"/>
      <c r="D98" s="82"/>
      <c r="E98" s="82"/>
      <c r="F98" s="82"/>
      <c r="G98" s="155"/>
      <c r="H98" s="155"/>
    </row>
    <row r="99" spans="1:8" x14ac:dyDescent="0.2">
      <c r="C99" s="83"/>
      <c r="D99" s="82"/>
      <c r="E99" s="82"/>
      <c r="F99" s="82"/>
      <c r="G99" s="155"/>
      <c r="H99" s="155"/>
    </row>
    <row r="100" spans="1:8" x14ac:dyDescent="0.2">
      <c r="C100" s="83"/>
      <c r="D100" s="82"/>
      <c r="E100" s="82"/>
      <c r="F100" s="82"/>
      <c r="G100" s="155"/>
      <c r="H100" s="155"/>
    </row>
    <row r="101" spans="1:8" x14ac:dyDescent="0.2">
      <c r="C101" s="83"/>
      <c r="D101" s="82"/>
      <c r="E101" s="82"/>
      <c r="F101" s="82"/>
      <c r="G101" s="155"/>
      <c r="H101" s="155"/>
    </row>
    <row r="102" spans="1:8" x14ac:dyDescent="0.2">
      <c r="C102" s="83"/>
      <c r="D102" s="82"/>
      <c r="E102" s="82"/>
      <c r="F102" s="82"/>
      <c r="G102" s="155"/>
      <c r="H102" s="155"/>
    </row>
    <row r="103" spans="1:8" x14ac:dyDescent="0.2">
      <c r="C103" s="83"/>
      <c r="D103" s="93"/>
      <c r="E103" s="93"/>
      <c r="F103" s="82"/>
      <c r="G103" s="86"/>
      <c r="H103" s="83"/>
    </row>
    <row r="104" spans="1:8" x14ac:dyDescent="0.2">
      <c r="C104" s="84"/>
      <c r="D104" s="93"/>
      <c r="E104" s="93"/>
      <c r="F104" s="93"/>
      <c r="G104" s="86"/>
      <c r="H104" s="83"/>
    </row>
    <row r="105" spans="1:8" x14ac:dyDescent="0.2">
      <c r="C105" s="84"/>
      <c r="D105" s="83"/>
      <c r="E105" s="83"/>
      <c r="F105" s="93"/>
      <c r="G105" s="83"/>
      <c r="H105" s="83"/>
    </row>
    <row r="106" spans="1:8" x14ac:dyDescent="0.2">
      <c r="C106" s="83"/>
      <c r="F106" s="83"/>
    </row>
  </sheetData>
  <mergeCells count="17">
    <mergeCell ref="B9:H10"/>
    <mergeCell ref="G49:H49"/>
    <mergeCell ref="A1:E1"/>
    <mergeCell ref="A2:E2"/>
    <mergeCell ref="A3:E3"/>
    <mergeCell ref="A4:E4"/>
    <mergeCell ref="C5:H5"/>
    <mergeCell ref="G102:H102"/>
    <mergeCell ref="G99:H99"/>
    <mergeCell ref="G89:H89"/>
    <mergeCell ref="G93:H93"/>
    <mergeCell ref="G96:H96"/>
    <mergeCell ref="D51:E51"/>
    <mergeCell ref="D53:E53"/>
    <mergeCell ref="G100:H100"/>
    <mergeCell ref="G101:H101"/>
    <mergeCell ref="G98:H98"/>
  </mergeCells>
  <printOptions horizontalCentered="1"/>
  <pageMargins left="0.19685039370078741" right="0.11811023622047245" top="0.74803149606299213" bottom="0.74803149606299213" header="0.31496062992125984" footer="0.31496062992125984"/>
  <pageSetup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12</vt:i4>
      </vt:variant>
    </vt:vector>
  </HeadingPairs>
  <TitlesOfParts>
    <vt:vector size="26" baseType="lpstr">
      <vt:lpstr>SOLIC.ADQU. (1)</vt:lpstr>
      <vt:lpstr>SOLIC.ADQU. (2)</vt:lpstr>
      <vt:lpstr>FACTURAS2</vt:lpstr>
      <vt:lpstr>FACTURAS</vt:lpstr>
      <vt:lpstr>BOLETAS ELECTRONICAS</vt:lpstr>
      <vt:lpstr>BOLETAS EXENTAS</vt:lpstr>
      <vt:lpstr>SOLIC.ADQU. .11</vt:lpstr>
      <vt:lpstr>SOLIC.ADQU. (5)</vt:lpstr>
      <vt:lpstr>SOLIC.ADQU. (3)</vt:lpstr>
      <vt:lpstr>SOLIC.ADQU. (4)</vt:lpstr>
      <vt:lpstr>DACA 64</vt:lpstr>
      <vt:lpstr>BAÑOS 2° PISO</vt:lpstr>
      <vt:lpstr>cotizacion</vt:lpstr>
      <vt:lpstr>Hoja1</vt:lpstr>
      <vt:lpstr>'BAÑOS 2° PISO'!Área_de_impresión</vt:lpstr>
      <vt:lpstr>'BOLETAS ELECTRONICAS'!Área_de_impresión</vt:lpstr>
      <vt:lpstr>'BOLETAS EXENTAS'!Área_de_impresión</vt:lpstr>
      <vt:lpstr>'DACA 64'!Área_de_impresión</vt:lpstr>
      <vt:lpstr>FACTURAS!Área_de_impresión</vt:lpstr>
      <vt:lpstr>FACTURAS2!Área_de_impresión</vt:lpstr>
      <vt:lpstr>'SOLIC.ADQU. (1)'!Área_de_impresión</vt:lpstr>
      <vt:lpstr>'SOLIC.ADQU. (2)'!Área_de_impresión</vt:lpstr>
      <vt:lpstr>'SOLIC.ADQU. (3)'!Área_de_impresión</vt:lpstr>
      <vt:lpstr>'SOLIC.ADQU. (4)'!Área_de_impresión</vt:lpstr>
      <vt:lpstr>'SOLIC.ADQU. (5)'!Área_de_impresión</vt:lpstr>
      <vt:lpstr>'SOLIC.ADQU. .11'!Área_de_impresión</vt:lpstr>
    </vt:vector>
  </TitlesOfParts>
  <Company>ARMADA DE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ARMADA DE CHILE</dc:creator>
  <cp:lastModifiedBy>Aravena Maximo EP., Encargado de Adquisiciones</cp:lastModifiedBy>
  <cp:lastPrinted>2026-08-24T18:22:06Z</cp:lastPrinted>
  <dcterms:created xsi:type="dcterms:W3CDTF">1998-05-12T19:14:30Z</dcterms:created>
  <dcterms:modified xsi:type="dcterms:W3CDTF">2026-09-29T14:16:52Z</dcterms:modified>
</cp:coreProperties>
</file>