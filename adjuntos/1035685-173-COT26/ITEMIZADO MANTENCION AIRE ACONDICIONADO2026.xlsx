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cftdelosrios-my.sharepoint.com/personal/lalvarez_cftdelosrios_cl/Documents/Finanzas 2026/COMPRAS/Mercado Público/Compra ágil/173- Mantención AC/"/>
    </mc:Choice>
  </mc:AlternateContent>
  <xr:revisionPtr revIDLastSave="1" documentId="8_{796707ED-8BDD-4874-994A-A91E9FE6412E}" xr6:coauthVersionLast="47" xr6:coauthVersionMax="47" xr10:uidLastSave="{552C403B-A727-4E3F-88B6-EC6B12F7E2EB}"/>
  <bookViews>
    <workbookView xWindow="-108" yWindow="-108" windowWidth="23256" windowHeight="13896" xr2:uid="{00000000-000D-0000-FFFF-FFFF00000000}"/>
  </bookViews>
  <sheets>
    <sheet name="I T E M I Z A D O " sheetId="1" r:id="rId1"/>
  </sheets>
  <definedNames>
    <definedName name="_xlnm.Print_Area" localSheetId="0">'I T E M I Z A D O '!$B$4:$I$48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1" l="1"/>
  <c r="I26" i="1"/>
  <c r="I25" i="1"/>
  <c r="I24" i="1" l="1"/>
  <c r="I23" i="1" l="1"/>
  <c r="I29" i="1" s="1"/>
  <c r="H31" i="1" l="1"/>
  <c r="I31" i="1" s="1"/>
  <c r="H33" i="1" l="1"/>
  <c r="I33" i="1" s="1"/>
  <c r="I35" i="1" s="1"/>
  <c r="I37" i="1" s="1"/>
  <c r="I38" i="1" s="1"/>
</calcChain>
</file>

<file path=xl/sharedStrings.xml><?xml version="1.0" encoding="utf-8"?>
<sst xmlns="http://schemas.openxmlformats.org/spreadsheetml/2006/main" count="55" uniqueCount="48">
  <si>
    <t>ITEMIZADO PRESUPUESTO</t>
  </si>
  <si>
    <t>OBRA</t>
  </si>
  <si>
    <t>:</t>
  </si>
  <si>
    <t>SERVICIO DE MANTENCION DE EQUIPOS DE AIRE ACONDICIONADO CASA CENTRAL, SEDE LA UNION,PAILLACO,PANGUIPULLI Y PANGUIPULLI.</t>
  </si>
  <si>
    <t>MANDANTE</t>
  </si>
  <si>
    <t>CENTRO DE FORMACIÓN TÉCNICA ESTATAL DE LA REGIÓN DE LOS RÍOS.</t>
  </si>
  <si>
    <t>RUT_62.000.400-6</t>
  </si>
  <si>
    <t>UNI. TÉCNICA</t>
  </si>
  <si>
    <t>DIRECCIÓN ECONÓMICA Y ADMINISTRATIVA - SERVICIO GENERALES</t>
  </si>
  <si>
    <t>UBICACIÓN</t>
  </si>
  <si>
    <t>COMERCIO  N° 238, COMUNA DE LA UNION</t>
  </si>
  <si>
    <t>El siguiente itemizado se basa en las Especificaciones Técnicas Generales (EE.TT.) hacen referencia al  de servicio de mantencion de equipos de aire acondicionado para casa central, las sedes de La union,Paillaco,Valdivia,La union y Panguipulli,desarrollado según se indica en Planimetría y las respectivas Especificaciones Técnicas.</t>
  </si>
  <si>
    <t>ITEM</t>
  </si>
  <si>
    <t>DETALLE PARTIDAS</t>
  </si>
  <si>
    <t>U. Medida</t>
  </si>
  <si>
    <t>CANTIDAD</t>
  </si>
  <si>
    <t>P. UNITARIO</t>
  </si>
  <si>
    <t>P. TOTAL</t>
  </si>
  <si>
    <t>MANTENCION EQUIPOS DE AIRE ACONDICIONADO, LA UNION, VALDIVIA, BOETTCHER, PAILLACO Y PANGUIPULLI.</t>
  </si>
  <si>
    <t>A.1.</t>
  </si>
  <si>
    <t>MANTENCION EQUIPOS AIRE ACONDICIONADO.</t>
  </si>
  <si>
    <t>A.1.1.</t>
  </si>
  <si>
    <t>EQUIPOS SPLIT MURO DESDE LOS 9.000 HASTA LOS 24.000 BTU.</t>
  </si>
  <si>
    <t>UNI.</t>
  </si>
  <si>
    <t>A.1.2.</t>
  </si>
  <si>
    <t>EQUIPOS PISO CIELO DE 60.000 BTU.</t>
  </si>
  <si>
    <t>A.1.3.</t>
  </si>
  <si>
    <t>EQUIPO TIPO CASSETTE.</t>
  </si>
  <si>
    <t>A.1.4.</t>
  </si>
  <si>
    <t>ASEO Y ENTREGA FINAL</t>
  </si>
  <si>
    <t>GL.</t>
  </si>
  <si>
    <t>U.</t>
  </si>
  <si>
    <r>
      <t xml:space="preserve"> </t>
    </r>
    <r>
      <rPr>
        <b/>
        <sz val="12"/>
        <color rgb="FF000000"/>
        <rFont val="Frutiger LT Std 47 Light Cn"/>
      </rPr>
      <t xml:space="preserve"> $</t>
    </r>
  </si>
  <si>
    <r>
      <t xml:space="preserve">Total Costo Directo de la Instalación. </t>
    </r>
    <r>
      <rPr>
        <sz val="8"/>
        <rFont val="Frutiger LT Std 47 Light Cn"/>
        <family val="2"/>
      </rPr>
      <t>(Materiales y Mano de Obra)</t>
    </r>
  </si>
  <si>
    <t>Gastos Generales</t>
  </si>
  <si>
    <t>%</t>
  </si>
  <si>
    <t>Utilidades</t>
  </si>
  <si>
    <t>Total Neto</t>
  </si>
  <si>
    <t>IVA (19%)</t>
  </si>
  <si>
    <t>TOTAL TRABAJO MANTENCION</t>
  </si>
  <si>
    <t>Valor Obra       :</t>
  </si>
  <si>
    <t>Trabajadores   :</t>
  </si>
  <si>
    <t>Mano de Obra Semi - Calificada.</t>
  </si>
  <si>
    <t>Mano de Obra No Calificada.</t>
  </si>
  <si>
    <t>Duración Obra :</t>
  </si>
  <si>
    <t>días corridos.</t>
  </si>
  <si>
    <t>FIRMA EMPRESA CONTRATISTA</t>
  </si>
  <si>
    <t>34-cot25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</si>
</sst>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quot;€&quot;_-;\-* #,##0.00\ &quot;€&quot;_-;_-* &quot;-&quot;??\ &quot;€&quot;_-;_-@_-"/>
    <numFmt numFmtId="165" formatCode="[$$-340A]\ #,##0;[Red]\-[$$-340A]\ #,##0"/>
    <numFmt numFmtId="166" formatCode="_-[$$-340A]\ * #,##0_-;\-[$$-340A]\ * #,##0_-;_-[$$-340A]\ * &quot;-&quot;??_-;_-@_-"/>
    <numFmt numFmtId="167" formatCode="&quot;$&quot;\ #,##0"/>
    <numFmt numFmtId="168" formatCode="[$$-340A]#,##0.00;[Red][$$-340A]\-#,##0.00"/>
  </numFmts>
  <fonts count="24">
    <font>
      <sz val="11"/>
      <color theme="1"/>
      <name val="Calibri"/>
      <family val="2"/>
      <scheme val="minor"/>
    </font>
    <font>
      <sz val="12"/>
      <name val="Century Gothic"/>
      <family val="2"/>
    </font>
    <font>
      <b/>
      <sz val="8"/>
      <name val="Century Gothic"/>
      <family val="2"/>
    </font>
    <font>
      <b/>
      <sz val="10"/>
      <name val="Century Gothic"/>
      <family val="2"/>
    </font>
    <font>
      <sz val="10"/>
      <name val="Century Gothic"/>
      <family val="2"/>
    </font>
    <font>
      <b/>
      <sz val="12"/>
      <name val="Century Gothic"/>
      <family val="2"/>
    </font>
    <font>
      <sz val="11"/>
      <color indexed="8"/>
      <name val="Calibri"/>
      <family val="2"/>
    </font>
    <font>
      <u/>
      <sz val="10"/>
      <name val="Century Gothic"/>
      <family val="2"/>
    </font>
    <font>
      <sz val="8"/>
      <name val="Century Gothic"/>
      <family val="2"/>
    </font>
    <font>
      <b/>
      <i/>
      <sz val="10"/>
      <name val="Frutiger LT Std 47 Light Cn"/>
      <family val="2"/>
    </font>
    <font>
      <b/>
      <sz val="10"/>
      <name val="Frutiger LT Std 47 Light Cn"/>
      <family val="2"/>
    </font>
    <font>
      <sz val="10"/>
      <name val="Frutiger LT Std 47 Light Cn"/>
      <family val="2"/>
    </font>
    <font>
      <b/>
      <sz val="14"/>
      <name val="Frutiger LT Std 47 Light Cn"/>
      <family val="2"/>
    </font>
    <font>
      <b/>
      <sz val="11"/>
      <name val="Frutiger LT Std 47 Light Cn"/>
      <family val="2"/>
    </font>
    <font>
      <sz val="11"/>
      <name val="Frutiger LT Std 47 Light Cn"/>
      <family val="2"/>
    </font>
    <font>
      <b/>
      <sz val="10"/>
      <color indexed="8"/>
      <name val="Frutiger LT Std 47 Light Cn"/>
      <family val="2"/>
    </font>
    <font>
      <sz val="10"/>
      <color indexed="8"/>
      <name val="Frutiger LT Std 47 Light Cn"/>
      <family val="2"/>
    </font>
    <font>
      <b/>
      <sz val="12"/>
      <name val="Frutiger LT Std 47 Light Cn"/>
      <family val="2"/>
    </font>
    <font>
      <sz val="12"/>
      <name val="Frutiger LT Std 47 Light Cn"/>
      <family val="2"/>
    </font>
    <font>
      <sz val="8"/>
      <name val="Frutiger LT Std 47 Light Cn"/>
      <family val="2"/>
    </font>
    <font>
      <sz val="14"/>
      <name val="Frutiger LT Std 47 Light Cn"/>
      <family val="2"/>
    </font>
    <font>
      <sz val="9"/>
      <name val="Frutiger LT Std 47 Light Cn"/>
      <family val="2"/>
    </font>
    <font>
      <b/>
      <sz val="10"/>
      <color rgb="FF000000"/>
      <name val="Frutiger LT Std 47 Light Cn"/>
    </font>
    <font>
      <b/>
      <sz val="12"/>
      <color rgb="FF000000"/>
      <name val="Frutiger LT Std 47 Light Cn"/>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3" tint="0.39997558519241921"/>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medium">
        <color indexed="64"/>
      </right>
      <top/>
      <bottom style="medium">
        <color indexed="64"/>
      </bottom>
      <diagonal/>
    </border>
  </borders>
  <cellStyleXfs count="2">
    <xf numFmtId="0" fontId="0" fillId="0" borderId="0"/>
    <xf numFmtId="164" fontId="6" fillId="0" borderId="0" applyFont="0" applyFill="0" applyBorder="0" applyAlignment="0" applyProtection="0"/>
  </cellStyleXfs>
  <cellXfs count="139">
    <xf numFmtId="0" fontId="0" fillId="0" borderId="0" xfId="0"/>
    <xf numFmtId="0" fontId="1" fillId="0" borderId="0" xfId="0" applyFont="1"/>
    <xf numFmtId="0" fontId="4" fillId="0" borderId="0" xfId="0" applyFont="1"/>
    <xf numFmtId="0" fontId="3" fillId="0" borderId="0" xfId="0" applyFont="1" applyAlignment="1">
      <alignment horizontal="center"/>
    </xf>
    <xf numFmtId="0" fontId="4" fillId="0" borderId="0" xfId="0" applyFont="1" applyAlignment="1">
      <alignment horizontal="center"/>
    </xf>
    <xf numFmtId="0" fontId="4" fillId="0" borderId="8" xfId="0" applyFont="1" applyBorder="1" applyAlignment="1">
      <alignment horizontal="center"/>
    </xf>
    <xf numFmtId="166" fontId="1" fillId="0" borderId="0" xfId="0" applyNumberFormat="1" applyFont="1"/>
    <xf numFmtId="0" fontId="3" fillId="0" borderId="0" xfId="0" applyFont="1" applyAlignment="1">
      <alignment horizontal="left"/>
    </xf>
    <xf numFmtId="0" fontId="1" fillId="2" borderId="0" xfId="0" applyFont="1" applyFill="1"/>
    <xf numFmtId="0" fontId="4" fillId="2" borderId="0" xfId="0" applyFont="1" applyFill="1"/>
    <xf numFmtId="2" fontId="1" fillId="0" borderId="0" xfId="0" applyNumberFormat="1" applyFont="1"/>
    <xf numFmtId="167" fontId="1" fillId="0" borderId="0" xfId="1" applyNumberFormat="1" applyFont="1"/>
    <xf numFmtId="167" fontId="1" fillId="0" borderId="0" xfId="1" applyNumberFormat="1" applyFont="1" applyBorder="1"/>
    <xf numFmtId="167" fontId="1" fillId="0" borderId="0" xfId="1" applyNumberFormat="1" applyFont="1" applyFill="1"/>
    <xf numFmtId="167" fontId="1" fillId="0" borderId="0" xfId="1" applyNumberFormat="1" applyFont="1" applyFill="1" applyBorder="1"/>
    <xf numFmtId="166" fontId="5" fillId="0" borderId="0" xfId="0" applyNumberFormat="1" applyFont="1"/>
    <xf numFmtId="0" fontId="7" fillId="0" borderId="0" xfId="0" applyFont="1"/>
    <xf numFmtId="0" fontId="8" fillId="0" borderId="0" xfId="0" applyFont="1" applyAlignment="1">
      <alignment horizontal="right"/>
    </xf>
    <xf numFmtId="0" fontId="10" fillId="3" borderId="1" xfId="0" applyFont="1" applyFill="1" applyBorder="1"/>
    <xf numFmtId="0" fontId="10" fillId="3" borderId="3" xfId="0" applyFont="1" applyFill="1" applyBorder="1" applyAlignment="1">
      <alignment horizontal="left"/>
    </xf>
    <xf numFmtId="0" fontId="10" fillId="3" borderId="7" xfId="0" applyFont="1" applyFill="1" applyBorder="1"/>
    <xf numFmtId="0" fontId="10" fillId="3" borderId="8" xfId="0" applyFont="1" applyFill="1" applyBorder="1" applyAlignment="1">
      <alignment horizontal="left"/>
    </xf>
    <xf numFmtId="0" fontId="11" fillId="3" borderId="0" xfId="0" applyFont="1" applyFill="1"/>
    <xf numFmtId="0" fontId="11" fillId="3" borderId="8" xfId="0" applyFont="1" applyFill="1" applyBorder="1"/>
    <xf numFmtId="0" fontId="10" fillId="3" borderId="4" xfId="0" applyFont="1" applyFill="1" applyBorder="1"/>
    <xf numFmtId="0" fontId="10" fillId="3" borderId="6" xfId="0" applyFont="1" applyFill="1" applyBorder="1" applyAlignment="1">
      <alignment horizontal="left"/>
    </xf>
    <xf numFmtId="0" fontId="10" fillId="4" borderId="12" xfId="0" applyFont="1" applyFill="1" applyBorder="1" applyAlignment="1">
      <alignment horizontal="center"/>
    </xf>
    <xf numFmtId="0" fontId="10" fillId="4" borderId="15" xfId="0" applyFont="1" applyFill="1" applyBorder="1" applyAlignment="1">
      <alignment horizontal="center"/>
    </xf>
    <xf numFmtId="0" fontId="10" fillId="4" borderId="16" xfId="0" applyFont="1" applyFill="1" applyBorder="1" applyAlignment="1">
      <alignment horizontal="center"/>
    </xf>
    <xf numFmtId="0" fontId="10" fillId="0" borderId="7" xfId="0" applyFont="1" applyBorder="1"/>
    <xf numFmtId="0" fontId="11" fillId="0" borderId="7" xfId="0" applyFont="1" applyBorder="1"/>
    <xf numFmtId="9" fontId="11" fillId="0" borderId="0" xfId="0" applyNumberFormat="1" applyFont="1" applyAlignment="1">
      <alignment horizontal="center"/>
    </xf>
    <xf numFmtId="166" fontId="14" fillId="0" borderId="0" xfId="0" applyNumberFormat="1" applyFont="1"/>
    <xf numFmtId="166" fontId="18" fillId="0" borderId="8" xfId="0" applyNumberFormat="1" applyFont="1" applyBorder="1"/>
    <xf numFmtId="0" fontId="10" fillId="0" borderId="0" xfId="0" applyFont="1" applyAlignment="1">
      <alignment horizontal="left"/>
    </xf>
    <xf numFmtId="9" fontId="10" fillId="0" borderId="0" xfId="0" applyNumberFormat="1" applyFont="1" applyAlignment="1">
      <alignment horizontal="center"/>
    </xf>
    <xf numFmtId="0" fontId="11" fillId="0" borderId="0" xfId="0" applyFont="1"/>
    <xf numFmtId="1" fontId="20" fillId="0" borderId="0" xfId="0" applyNumberFormat="1" applyFont="1"/>
    <xf numFmtId="0" fontId="10" fillId="0" borderId="9" xfId="0" applyFont="1" applyBorder="1"/>
    <xf numFmtId="166" fontId="20" fillId="0" borderId="26" xfId="1" applyNumberFormat="1" applyFont="1" applyBorder="1"/>
    <xf numFmtId="0" fontId="10" fillId="0" borderId="0" xfId="0" applyFont="1"/>
    <xf numFmtId="166" fontId="10" fillId="0" borderId="0" xfId="1" applyNumberFormat="1" applyFont="1" applyFill="1" applyBorder="1"/>
    <xf numFmtId="0" fontId="12" fillId="0" borderId="0" xfId="0" applyFont="1"/>
    <xf numFmtId="0" fontId="15" fillId="0" borderId="9" xfId="0" applyFont="1" applyBorder="1" applyAlignment="1">
      <alignment horizontal="left"/>
    </xf>
    <xf numFmtId="166" fontId="12" fillId="0" borderId="16" xfId="0" applyNumberFormat="1" applyFont="1" applyBorder="1"/>
    <xf numFmtId="166" fontId="12" fillId="0" borderId="16" xfId="1" applyNumberFormat="1" applyFont="1" applyFill="1" applyBorder="1"/>
    <xf numFmtId="0" fontId="11" fillId="4" borderId="9" xfId="0" applyFont="1" applyFill="1" applyBorder="1"/>
    <xf numFmtId="0" fontId="11" fillId="4" borderId="10" xfId="0" applyFont="1" applyFill="1" applyBorder="1"/>
    <xf numFmtId="0" fontId="10" fillId="4" borderId="10" xfId="0" applyFont="1" applyFill="1" applyBorder="1" applyAlignment="1">
      <alignment horizontal="center"/>
    </xf>
    <xf numFmtId="9" fontId="10" fillId="6" borderId="28" xfId="0" applyNumberFormat="1" applyFont="1" applyFill="1" applyBorder="1" applyAlignment="1">
      <alignment horizontal="center"/>
    </xf>
    <xf numFmtId="0" fontId="11" fillId="0" borderId="0" xfId="0" applyFont="1" applyAlignment="1">
      <alignment vertical="center"/>
    </xf>
    <xf numFmtId="0" fontId="17" fillId="0" borderId="28" xfId="0" applyFont="1" applyBorder="1" applyAlignment="1">
      <alignment vertical="center"/>
    </xf>
    <xf numFmtId="0" fontId="17" fillId="0" borderId="32" xfId="0" applyFont="1" applyBorder="1" applyAlignment="1">
      <alignment horizontal="right" vertical="center"/>
    </xf>
    <xf numFmtId="0" fontId="15" fillId="0" borderId="25" xfId="0" applyFont="1" applyBorder="1" applyAlignment="1">
      <alignment horizontal="left" vertical="center"/>
    </xf>
    <xf numFmtId="0" fontId="16" fillId="0" borderId="25" xfId="0" applyFont="1" applyBorder="1" applyAlignment="1">
      <alignment horizontal="left" vertical="center"/>
    </xf>
    <xf numFmtId="0" fontId="11" fillId="0" borderId="22" xfId="0" applyFont="1" applyBorder="1" applyAlignment="1">
      <alignment horizontal="center" vertical="center"/>
    </xf>
    <xf numFmtId="2" fontId="11" fillId="6" borderId="24" xfId="0" applyNumberFormat="1" applyFont="1" applyFill="1" applyBorder="1" applyAlignment="1">
      <alignment horizontal="center" vertical="center"/>
    </xf>
    <xf numFmtId="165" fontId="16" fillId="6" borderId="23" xfId="0" applyNumberFormat="1" applyFont="1" applyFill="1" applyBorder="1" applyAlignment="1">
      <alignment vertical="center"/>
    </xf>
    <xf numFmtId="166" fontId="18" fillId="0" borderId="19" xfId="0" applyNumberFormat="1" applyFont="1" applyBorder="1" applyAlignment="1">
      <alignment horizontal="center" vertical="center"/>
    </xf>
    <xf numFmtId="0" fontId="11" fillId="0" borderId="21" xfId="0" applyFont="1" applyBorder="1" applyAlignment="1">
      <alignment horizontal="center" vertical="center"/>
    </xf>
    <xf numFmtId="2" fontId="11" fillId="6" borderId="33" xfId="0" applyNumberFormat="1" applyFont="1" applyFill="1" applyBorder="1" applyAlignment="1">
      <alignment horizontal="center" vertical="center"/>
    </xf>
    <xf numFmtId="165" fontId="16" fillId="6" borderId="34" xfId="0" applyNumberFormat="1" applyFont="1" applyFill="1" applyBorder="1" applyAlignment="1">
      <alignment vertical="center"/>
    </xf>
    <xf numFmtId="0" fontId="16" fillId="0" borderId="7" xfId="0" applyFont="1" applyBorder="1" applyAlignment="1">
      <alignment horizontal="left" vertical="center"/>
    </xf>
    <xf numFmtId="0" fontId="16" fillId="0" borderId="28" xfId="0" applyFont="1" applyBorder="1" applyAlignment="1">
      <alignment horizontal="center" vertical="center"/>
    </xf>
    <xf numFmtId="0" fontId="11" fillId="0" borderId="36" xfId="0" applyFont="1" applyBorder="1" applyAlignment="1">
      <alignment horizontal="center" vertical="center"/>
    </xf>
    <xf numFmtId="2" fontId="11" fillId="6" borderId="0" xfId="0" applyNumberFormat="1" applyFont="1" applyFill="1" applyAlignment="1">
      <alignment horizontal="center" vertical="center"/>
    </xf>
    <xf numFmtId="166" fontId="18" fillId="0" borderId="38" xfId="0" applyNumberFormat="1" applyFont="1" applyBorder="1" applyAlignment="1">
      <alignment horizontal="center" vertical="center"/>
    </xf>
    <xf numFmtId="166" fontId="17" fillId="5" borderId="39" xfId="0" applyNumberFormat="1" applyFont="1" applyFill="1" applyBorder="1" applyAlignment="1">
      <alignment horizontal="center"/>
    </xf>
    <xf numFmtId="0" fontId="16" fillId="0" borderId="29" xfId="0" applyFont="1" applyBorder="1" applyAlignment="1">
      <alignment horizontal="left" vertical="center"/>
    </xf>
    <xf numFmtId="168" fontId="22" fillId="0" borderId="28" xfId="0" applyNumberFormat="1" applyFont="1" applyBorder="1" applyAlignment="1">
      <alignment horizontal="left" vertical="center"/>
    </xf>
    <xf numFmtId="0" fontId="10" fillId="4" borderId="10" xfId="0" applyFont="1" applyFill="1" applyBorder="1" applyAlignment="1">
      <alignment horizontal="center"/>
    </xf>
    <xf numFmtId="0" fontId="10" fillId="4" borderId="11" xfId="0" applyFont="1" applyFill="1" applyBorder="1" applyAlignment="1">
      <alignment horizontal="center"/>
    </xf>
    <xf numFmtId="0" fontId="10" fillId="0" borderId="0" xfId="0" applyFont="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11" fillId="0" borderId="20" xfId="0" applyFont="1" applyBorder="1" applyAlignment="1">
      <alignment horizontal="left" vertical="center" wrapText="1"/>
    </xf>
    <xf numFmtId="0" fontId="11" fillId="0" borderId="21" xfId="0" applyFont="1" applyBorder="1" applyAlignment="1">
      <alignment horizontal="left" vertical="center"/>
    </xf>
    <xf numFmtId="0" fontId="11" fillId="0" borderId="22" xfId="0" applyFont="1" applyBorder="1" applyAlignment="1">
      <alignment horizontal="left"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27" xfId="0" applyFont="1" applyBorder="1" applyAlignment="1">
      <alignment horizontal="left" vertical="center"/>
    </xf>
    <xf numFmtId="0" fontId="17" fillId="0" borderId="10" xfId="0" applyFont="1" applyBorder="1" applyAlignment="1">
      <alignment horizontal="left"/>
    </xf>
    <xf numFmtId="0" fontId="17" fillId="0" borderId="14" xfId="0" applyFont="1" applyBorder="1" applyAlignment="1">
      <alignment horizontal="left"/>
    </xf>
    <xf numFmtId="0" fontId="10" fillId="0" borderId="7"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7" fillId="0" borderId="0" xfId="0" applyFont="1" applyAlignment="1">
      <alignment horizontal="left"/>
    </xf>
    <xf numFmtId="0" fontId="18" fillId="0" borderId="10" xfId="0" applyFont="1" applyBorder="1" applyAlignment="1">
      <alignment horizontal="left"/>
    </xf>
    <xf numFmtId="0" fontId="18" fillId="0" borderId="14" xfId="0" applyFont="1" applyBorder="1" applyAlignment="1">
      <alignment horizontal="left"/>
    </xf>
    <xf numFmtId="0" fontId="10" fillId="0" borderId="29" xfId="0" applyFont="1" applyBorder="1" applyAlignment="1">
      <alignment horizontal="left" vertical="center"/>
    </xf>
    <xf numFmtId="0" fontId="10" fillId="0" borderId="30" xfId="0" applyFont="1" applyBorder="1" applyAlignment="1">
      <alignment horizontal="left" vertical="center"/>
    </xf>
    <xf numFmtId="0" fontId="10" fillId="0" borderId="31" xfId="0" applyFont="1" applyBorder="1" applyAlignment="1">
      <alignment horizontal="left" vertical="center"/>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15" fontId="2" fillId="2" borderId="0" xfId="0" applyNumberFormat="1" applyFont="1" applyFill="1" applyAlignment="1">
      <alignment horizontal="center"/>
    </xf>
    <xf numFmtId="15" fontId="9" fillId="7" borderId="9" xfId="0" applyNumberFormat="1" applyFont="1" applyFill="1" applyBorder="1" applyAlignment="1">
      <alignment horizontal="center"/>
    </xf>
    <xf numFmtId="15" fontId="9" fillId="7" borderId="10" xfId="0" applyNumberFormat="1" applyFont="1" applyFill="1" applyBorder="1" applyAlignment="1">
      <alignment horizontal="center"/>
    </xf>
    <xf numFmtId="15" fontId="9" fillId="7" borderId="11" xfId="0" applyNumberFormat="1" applyFont="1" applyFill="1" applyBorder="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16" fillId="0" borderId="28" xfId="0" applyFont="1" applyBorder="1" applyAlignment="1">
      <alignment horizontal="left" vertical="center"/>
    </xf>
    <xf numFmtId="0" fontId="11" fillId="0" borderId="35" xfId="0" applyFont="1" applyBorder="1" applyAlignment="1">
      <alignment horizontal="left" vertical="center" wrapText="1"/>
    </xf>
    <xf numFmtId="0" fontId="11" fillId="0" borderId="36" xfId="0" applyFont="1" applyBorder="1" applyAlignment="1">
      <alignment horizontal="left" vertical="center" wrapText="1"/>
    </xf>
    <xf numFmtId="0" fontId="11" fillId="0" borderId="37" xfId="0" applyFont="1" applyBorder="1" applyAlignment="1">
      <alignment horizontal="left" vertical="center" wrapText="1"/>
    </xf>
    <xf numFmtId="0" fontId="11" fillId="0" borderId="20" xfId="0" applyFont="1" applyBorder="1" applyAlignment="1">
      <alignment horizontal="left" vertical="center"/>
    </xf>
    <xf numFmtId="0" fontId="11" fillId="0" borderId="21" xfId="0" applyFont="1" applyBorder="1" applyAlignment="1">
      <alignment horizontal="left" vertical="center" wrapText="1"/>
    </xf>
    <xf numFmtId="0" fontId="11" fillId="0" borderId="22" xfId="0" applyFont="1" applyBorder="1" applyAlignment="1">
      <alignment horizontal="left" vertical="center" wrapText="1"/>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7" borderId="9" xfId="0" applyFont="1" applyFill="1" applyBorder="1" applyAlignment="1">
      <alignment horizontal="center"/>
    </xf>
    <xf numFmtId="0" fontId="1" fillId="7" borderId="10" xfId="0" applyFont="1" applyFill="1" applyBorder="1" applyAlignment="1">
      <alignment horizontal="center"/>
    </xf>
    <xf numFmtId="0" fontId="1" fillId="7" borderId="11" xfId="0" applyFont="1" applyFill="1" applyBorder="1" applyAlignment="1">
      <alignment horizontal="center"/>
    </xf>
    <xf numFmtId="0" fontId="13" fillId="0" borderId="9" xfId="0" applyFont="1" applyBorder="1" applyAlignment="1">
      <alignment horizontal="left"/>
    </xf>
    <xf numFmtId="0" fontId="13" fillId="0" borderId="10" xfId="0" applyFont="1" applyBorder="1" applyAlignment="1">
      <alignment horizontal="left"/>
    </xf>
    <xf numFmtId="0" fontId="13" fillId="0" borderId="11" xfId="0" applyFont="1" applyBorder="1" applyAlignment="1">
      <alignment horizontal="left"/>
    </xf>
    <xf numFmtId="0" fontId="21" fillId="0" borderId="7" xfId="0" applyFont="1" applyBorder="1" applyAlignment="1">
      <alignment horizontal="left" vertical="center" wrapText="1"/>
    </xf>
    <xf numFmtId="0" fontId="21" fillId="0" borderId="0" xfId="0" applyFont="1" applyAlignment="1">
      <alignment horizontal="left" vertical="center" wrapText="1"/>
    </xf>
    <xf numFmtId="0" fontId="21" fillId="0" borderId="8" xfId="0" applyFont="1" applyBorder="1" applyAlignment="1">
      <alignment horizontal="left" vertical="center" wrapText="1"/>
    </xf>
    <xf numFmtId="0" fontId="21" fillId="0" borderId="4" xfId="0" applyFont="1" applyBorder="1" applyAlignment="1">
      <alignment horizontal="left" vertical="center" wrapText="1"/>
    </xf>
    <xf numFmtId="0" fontId="21" fillId="0" borderId="5" xfId="0" applyFont="1" applyBorder="1" applyAlignment="1">
      <alignment horizontal="left" vertical="center" wrapText="1"/>
    </xf>
    <xf numFmtId="0" fontId="21" fillId="0" borderId="6" xfId="0" applyFont="1" applyBorder="1" applyAlignment="1">
      <alignment horizontal="left" vertical="center" wrapText="1"/>
    </xf>
    <xf numFmtId="0" fontId="10" fillId="4" borderId="13" xfId="0" applyFont="1" applyFill="1" applyBorder="1" applyAlignment="1">
      <alignment horizontal="center"/>
    </xf>
    <xf numFmtId="0" fontId="10" fillId="4" borderId="14" xfId="0" applyFont="1" applyFill="1" applyBorder="1" applyAlignment="1">
      <alignment horizontal="center"/>
    </xf>
    <xf numFmtId="0" fontId="10" fillId="3" borderId="1" xfId="0" applyFont="1" applyFill="1" applyBorder="1" applyAlignment="1">
      <alignment horizontal="left"/>
    </xf>
    <xf numFmtId="0" fontId="10" fillId="3" borderId="2" xfId="0" applyFont="1" applyFill="1" applyBorder="1" applyAlignment="1">
      <alignment horizontal="left"/>
    </xf>
    <xf numFmtId="0" fontId="10" fillId="3" borderId="3" xfId="0" applyFont="1" applyFill="1" applyBorder="1" applyAlignment="1">
      <alignment horizontal="left"/>
    </xf>
    <xf numFmtId="0" fontId="11" fillId="3" borderId="7" xfId="0" applyFont="1" applyFill="1" applyBorder="1" applyAlignment="1">
      <alignment horizontal="left"/>
    </xf>
    <xf numFmtId="0" fontId="11" fillId="3" borderId="0" xfId="0" applyFont="1" applyFill="1" applyAlignment="1">
      <alignment horizontal="left"/>
    </xf>
    <xf numFmtId="0" fontId="11" fillId="3" borderId="4" xfId="0" applyFont="1" applyFill="1" applyBorder="1" applyAlignment="1">
      <alignment horizontal="left"/>
    </xf>
    <xf numFmtId="0" fontId="11" fillId="3" borderId="5" xfId="0" applyFont="1" applyFill="1" applyBorder="1" applyAlignment="1">
      <alignment horizontal="left"/>
    </xf>
    <xf numFmtId="0" fontId="11" fillId="3" borderId="6" xfId="0" applyFont="1" applyFill="1" applyBorder="1" applyAlignment="1">
      <alignment horizontal="left"/>
    </xf>
    <xf numFmtId="0" fontId="12" fillId="4" borderId="1"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6" xfId="0" applyFont="1" applyFill="1" applyBorder="1" applyAlignment="1">
      <alignment horizontal="center" vertical="center"/>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0</xdr:rowOff>
    </xdr:from>
    <xdr:to>
      <xdr:col>2</xdr:col>
      <xdr:colOff>116342</xdr:colOff>
      <xdr:row>0</xdr:row>
      <xdr:rowOff>582330</xdr:rowOff>
    </xdr:to>
    <xdr:pic>
      <xdr:nvPicPr>
        <xdr:cNvPr id="3" name="Imagen 2">
          <a:extLst>
            <a:ext uri="{FF2B5EF4-FFF2-40B4-BE49-F238E27FC236}">
              <a16:creationId xmlns:a16="http://schemas.microsoft.com/office/drawing/2014/main" id="{633523E2-C586-4805-9788-D979CF300D87}"/>
            </a:ext>
          </a:extLst>
        </xdr:cNvPr>
        <xdr:cNvPicPr>
          <a:picLocks noChangeAspect="1"/>
        </xdr:cNvPicPr>
      </xdr:nvPicPr>
      <xdr:blipFill>
        <a:blip xmlns:r="http://schemas.openxmlformats.org/officeDocument/2006/relationships" r:embed="rId1"/>
        <a:stretch>
          <a:fillRect/>
        </a:stretch>
      </xdr:blipFill>
      <xdr:spPr>
        <a:xfrm>
          <a:off x="152401" y="0"/>
          <a:ext cx="1094014" cy="5804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33FF"/>
    <pageSetUpPr fitToPage="1"/>
  </sheetPr>
  <dimension ref="A1:N72"/>
  <sheetViews>
    <sheetView showGridLines="0" tabSelected="1" zoomScale="120" zoomScaleNormal="120" zoomScaleSheetLayoutView="100" workbookViewId="0">
      <selection activeCell="B13" sqref="B13:I18"/>
    </sheetView>
  </sheetViews>
  <sheetFormatPr baseColWidth="10" defaultColWidth="11.44140625" defaultRowHeight="15"/>
  <cols>
    <col min="1" max="1" width="1.6640625" style="1" customWidth="1"/>
    <col min="2" max="2" width="14.6640625" style="1" customWidth="1"/>
    <col min="3" max="3" width="2.6640625" style="1" customWidth="1"/>
    <col min="4" max="4" width="31.6640625" style="1" customWidth="1"/>
    <col min="5" max="5" width="36.5546875" style="1" customWidth="1"/>
    <col min="6" max="6" width="11.44140625" style="1"/>
    <col min="7" max="7" width="10.6640625" style="1" customWidth="1"/>
    <col min="8" max="8" width="16.6640625" style="1" customWidth="1"/>
    <col min="9" max="9" width="24.6640625" style="1" customWidth="1"/>
    <col min="10" max="10" width="7.33203125" style="1" customWidth="1"/>
    <col min="11" max="11" width="38" style="1" customWidth="1"/>
    <col min="12" max="12" width="16.44140625" style="1" customWidth="1"/>
    <col min="13" max="13" width="18.5546875" style="1" customWidth="1"/>
    <col min="14" max="14" width="18.6640625" style="11" bestFit="1" customWidth="1"/>
    <col min="15" max="16384" width="11.44140625" style="1"/>
  </cols>
  <sheetData>
    <row r="1" spans="1:9" ht="47.4" customHeight="1" thickBot="1">
      <c r="B1" s="108"/>
      <c r="C1" s="109"/>
      <c r="D1" s="109"/>
      <c r="E1" s="109"/>
      <c r="F1" s="109"/>
      <c r="G1" s="109"/>
      <c r="H1" s="109"/>
      <c r="I1" s="110"/>
    </row>
    <row r="2" spans="1:9" ht="16.2" customHeight="1" thickBot="1">
      <c r="B2" s="111"/>
      <c r="C2" s="112"/>
      <c r="D2" s="112"/>
      <c r="E2" s="112"/>
      <c r="F2" s="112"/>
      <c r="G2" s="112"/>
      <c r="H2" s="112"/>
      <c r="I2" s="113"/>
    </row>
    <row r="3" spans="1:9" ht="15.6" thickBot="1"/>
    <row r="4" spans="1:9" ht="15" customHeight="1">
      <c r="B4" s="133" t="s">
        <v>0</v>
      </c>
      <c r="C4" s="134"/>
      <c r="D4" s="134"/>
      <c r="E4" s="134"/>
      <c r="F4" s="134"/>
      <c r="G4" s="134"/>
      <c r="H4" s="134"/>
      <c r="I4" s="135"/>
    </row>
    <row r="5" spans="1:9" ht="15.6" customHeight="1" thickBot="1">
      <c r="B5" s="136"/>
      <c r="C5" s="137"/>
      <c r="D5" s="137"/>
      <c r="E5" s="137"/>
      <c r="F5" s="137"/>
      <c r="G5" s="137"/>
      <c r="H5" s="137"/>
      <c r="I5" s="138"/>
    </row>
    <row r="6" spans="1:9" ht="15.6" thickBot="1"/>
    <row r="7" spans="1:9">
      <c r="B7" s="18" t="s">
        <v>1</v>
      </c>
      <c r="C7" s="19" t="s">
        <v>2</v>
      </c>
      <c r="D7" s="125" t="s">
        <v>3</v>
      </c>
      <c r="E7" s="126"/>
      <c r="F7" s="126"/>
      <c r="G7" s="126"/>
      <c r="H7" s="126"/>
      <c r="I7" s="127"/>
    </row>
    <row r="8" spans="1:9">
      <c r="B8" s="20" t="s">
        <v>4</v>
      </c>
      <c r="C8" s="21" t="s">
        <v>2</v>
      </c>
      <c r="D8" s="128" t="s">
        <v>5</v>
      </c>
      <c r="E8" s="129"/>
      <c r="F8" s="129"/>
      <c r="G8" s="129"/>
      <c r="H8" s="22" t="s">
        <v>6</v>
      </c>
      <c r="I8" s="23"/>
    </row>
    <row r="9" spans="1:9">
      <c r="B9" s="20" t="s">
        <v>7</v>
      </c>
      <c r="C9" s="21" t="s">
        <v>2</v>
      </c>
      <c r="D9" s="128" t="s">
        <v>8</v>
      </c>
      <c r="E9" s="129"/>
      <c r="F9" s="129"/>
      <c r="G9" s="129"/>
      <c r="H9" s="22"/>
      <c r="I9" s="23"/>
    </row>
    <row r="10" spans="1:9" ht="15.6" thickBot="1">
      <c r="B10" s="24" t="s">
        <v>9</v>
      </c>
      <c r="C10" s="25" t="s">
        <v>2</v>
      </c>
      <c r="D10" s="130" t="s">
        <v>10</v>
      </c>
      <c r="E10" s="131"/>
      <c r="F10" s="131"/>
      <c r="G10" s="131"/>
      <c r="H10" s="131"/>
      <c r="I10" s="132"/>
    </row>
    <row r="11" spans="1:9" ht="15.6" thickBot="1"/>
    <row r="12" spans="1:9" ht="15.6" thickBot="1">
      <c r="B12" s="114" t="s">
        <v>47</v>
      </c>
      <c r="C12" s="115"/>
      <c r="D12" s="115"/>
      <c r="E12" s="115"/>
      <c r="F12" s="115"/>
      <c r="G12" s="115"/>
      <c r="H12" s="115"/>
      <c r="I12" s="116"/>
    </row>
    <row r="13" spans="1:9">
      <c r="B13" s="117" t="s">
        <v>11</v>
      </c>
      <c r="C13" s="118"/>
      <c r="D13" s="118"/>
      <c r="E13" s="118"/>
      <c r="F13" s="118"/>
      <c r="G13" s="118"/>
      <c r="H13" s="118"/>
      <c r="I13" s="119"/>
    </row>
    <row r="14" spans="1:9">
      <c r="B14" s="117"/>
      <c r="C14" s="118"/>
      <c r="D14" s="118"/>
      <c r="E14" s="118"/>
      <c r="F14" s="118"/>
      <c r="G14" s="118"/>
      <c r="H14" s="118"/>
      <c r="I14" s="119"/>
    </row>
    <row r="15" spans="1:9">
      <c r="A15" s="3"/>
      <c r="B15" s="117"/>
      <c r="C15" s="118"/>
      <c r="D15" s="118"/>
      <c r="E15" s="118"/>
      <c r="F15" s="118"/>
      <c r="G15" s="118"/>
      <c r="H15" s="118"/>
      <c r="I15" s="119"/>
    </row>
    <row r="16" spans="1:9">
      <c r="A16" s="3"/>
      <c r="B16" s="117"/>
      <c r="C16" s="118"/>
      <c r="D16" s="118"/>
      <c r="E16" s="118"/>
      <c r="F16" s="118"/>
      <c r="G16" s="118"/>
      <c r="H16" s="118"/>
      <c r="I16" s="119"/>
    </row>
    <row r="17" spans="1:14" ht="15" customHeight="1">
      <c r="A17" s="3"/>
      <c r="B17" s="117"/>
      <c r="C17" s="118"/>
      <c r="D17" s="118"/>
      <c r="E17" s="118"/>
      <c r="F17" s="118"/>
      <c r="G17" s="118"/>
      <c r="H17" s="118"/>
      <c r="I17" s="119"/>
    </row>
    <row r="18" spans="1:14" ht="15.6" thickBot="1">
      <c r="A18" s="4"/>
      <c r="B18" s="120"/>
      <c r="C18" s="121"/>
      <c r="D18" s="121"/>
      <c r="E18" s="121"/>
      <c r="F18" s="121"/>
      <c r="G18" s="121"/>
      <c r="H18" s="121"/>
      <c r="I18" s="122"/>
    </row>
    <row r="19" spans="1:14" ht="15.6" thickBot="1">
      <c r="A19" s="4"/>
    </row>
    <row r="20" spans="1:14" ht="15.6" thickBot="1">
      <c r="A20" s="5"/>
      <c r="B20" s="26" t="s">
        <v>12</v>
      </c>
      <c r="C20" s="123" t="s">
        <v>13</v>
      </c>
      <c r="D20" s="70"/>
      <c r="E20" s="124"/>
      <c r="F20" s="27" t="s">
        <v>14</v>
      </c>
      <c r="G20" s="27" t="s">
        <v>15</v>
      </c>
      <c r="H20" s="27" t="s">
        <v>16</v>
      </c>
      <c r="I20" s="28" t="s">
        <v>17</v>
      </c>
      <c r="N20" s="12"/>
    </row>
    <row r="21" spans="1:14" ht="15.6" thickBot="1">
      <c r="B21" s="43"/>
      <c r="C21" s="73" t="s">
        <v>18</v>
      </c>
      <c r="D21" s="73"/>
      <c r="E21" s="73"/>
      <c r="F21" s="73"/>
      <c r="G21" s="73"/>
      <c r="H21" s="73"/>
      <c r="I21" s="74"/>
      <c r="L21" s="10"/>
      <c r="N21" s="13"/>
    </row>
    <row r="22" spans="1:14">
      <c r="B22" s="53" t="s">
        <v>19</v>
      </c>
      <c r="C22" s="78" t="s">
        <v>20</v>
      </c>
      <c r="D22" s="79"/>
      <c r="E22" s="79"/>
      <c r="F22" s="79"/>
      <c r="G22" s="79"/>
      <c r="H22" s="79"/>
      <c r="I22" s="80"/>
      <c r="L22" s="10"/>
      <c r="N22" s="13"/>
    </row>
    <row r="23" spans="1:14">
      <c r="B23" s="54" t="s">
        <v>21</v>
      </c>
      <c r="C23" s="75" t="s">
        <v>22</v>
      </c>
      <c r="D23" s="76"/>
      <c r="E23" s="77"/>
      <c r="F23" s="55" t="s">
        <v>23</v>
      </c>
      <c r="G23" s="56"/>
      <c r="H23" s="57"/>
      <c r="I23" s="58">
        <f>G23*H23</f>
        <v>0</v>
      </c>
      <c r="L23" s="10"/>
      <c r="N23" s="13"/>
    </row>
    <row r="24" spans="1:14">
      <c r="B24" s="54" t="s">
        <v>24</v>
      </c>
      <c r="C24" s="105" t="s">
        <v>25</v>
      </c>
      <c r="D24" s="76"/>
      <c r="E24" s="77"/>
      <c r="F24" s="59" t="s">
        <v>23</v>
      </c>
      <c r="G24" s="56"/>
      <c r="H24" s="57"/>
      <c r="I24" s="58">
        <f>G24*H24</f>
        <v>0</v>
      </c>
      <c r="L24" s="10"/>
      <c r="N24" s="13"/>
    </row>
    <row r="25" spans="1:14" ht="20.25" customHeight="1">
      <c r="B25" s="54" t="s">
        <v>26</v>
      </c>
      <c r="C25" s="75" t="s">
        <v>27</v>
      </c>
      <c r="D25" s="106"/>
      <c r="E25" s="107"/>
      <c r="F25" s="59" t="s">
        <v>23</v>
      </c>
      <c r="G25" s="60"/>
      <c r="H25" s="57"/>
      <c r="I25" s="58">
        <f t="shared" ref="I25:I26" si="0">G25*H25</f>
        <v>0</v>
      </c>
      <c r="L25" s="10"/>
      <c r="N25" s="13"/>
    </row>
    <row r="26" spans="1:14" ht="17.399999999999999" customHeight="1">
      <c r="B26" s="54" t="s">
        <v>28</v>
      </c>
      <c r="C26" s="75" t="s">
        <v>29</v>
      </c>
      <c r="D26" s="76"/>
      <c r="E26" s="77"/>
      <c r="F26" s="59" t="s">
        <v>30</v>
      </c>
      <c r="G26" s="60"/>
      <c r="H26" s="61"/>
      <c r="I26" s="58">
        <f t="shared" si="0"/>
        <v>0</v>
      </c>
      <c r="L26" s="10"/>
      <c r="N26" s="13"/>
    </row>
    <row r="27" spans="1:14" ht="18.75" hidden="1" customHeight="1">
      <c r="B27" s="62"/>
      <c r="C27" s="102"/>
      <c r="D27" s="103"/>
      <c r="E27" s="104"/>
      <c r="F27" s="64" t="s">
        <v>31</v>
      </c>
      <c r="G27" s="65"/>
      <c r="H27" s="61"/>
      <c r="I27" s="66">
        <f>G27*H27</f>
        <v>0</v>
      </c>
      <c r="L27" s="10"/>
      <c r="N27" s="13"/>
    </row>
    <row r="28" spans="1:14" ht="19.5" hidden="1" customHeight="1" thickBot="1">
      <c r="B28" s="68"/>
      <c r="C28" s="101"/>
      <c r="D28" s="101"/>
      <c r="E28" s="101"/>
      <c r="F28" s="63" t="s">
        <v>31</v>
      </c>
      <c r="G28" s="63"/>
      <c r="H28" s="63"/>
      <c r="I28" s="69" t="s">
        <v>32</v>
      </c>
      <c r="N28" s="14"/>
    </row>
    <row r="29" spans="1:14" ht="33.75" customHeight="1" thickBot="1">
      <c r="B29" s="29"/>
      <c r="C29" s="86" t="s">
        <v>33</v>
      </c>
      <c r="D29" s="86"/>
      <c r="E29" s="86"/>
      <c r="F29" s="86"/>
      <c r="G29" s="86"/>
      <c r="H29" s="86"/>
      <c r="I29" s="67">
        <f>SUM(I21:I28)</f>
        <v>0</v>
      </c>
      <c r="K29" s="6"/>
      <c r="N29" s="13"/>
    </row>
    <row r="30" spans="1:14" ht="6" customHeight="1">
      <c r="B30" s="83"/>
      <c r="C30" s="84"/>
      <c r="D30" s="84"/>
      <c r="E30" s="84"/>
      <c r="F30" s="84"/>
      <c r="G30" s="84"/>
      <c r="H30" s="84"/>
      <c r="I30" s="85"/>
      <c r="N30" s="13"/>
    </row>
    <row r="31" spans="1:14">
      <c r="B31" s="30"/>
      <c r="C31" s="72" t="s">
        <v>34</v>
      </c>
      <c r="D31" s="72"/>
      <c r="E31" s="72"/>
      <c r="F31" s="31" t="s">
        <v>35</v>
      </c>
      <c r="G31" s="49"/>
      <c r="H31" s="32">
        <f>+I29</f>
        <v>0</v>
      </c>
      <c r="I31" s="33">
        <f>G31*H31</f>
        <v>0</v>
      </c>
      <c r="N31" s="13"/>
    </row>
    <row r="32" spans="1:14" ht="6" customHeight="1">
      <c r="B32" s="30"/>
      <c r="C32" s="34"/>
      <c r="D32" s="34"/>
      <c r="E32" s="34"/>
      <c r="F32" s="31"/>
      <c r="G32" s="35"/>
      <c r="H32" s="32"/>
      <c r="I32" s="33"/>
      <c r="N32" s="13"/>
    </row>
    <row r="33" spans="2:14">
      <c r="B33" s="30"/>
      <c r="C33" s="72" t="s">
        <v>36</v>
      </c>
      <c r="D33" s="72"/>
      <c r="E33" s="72"/>
      <c r="F33" s="31" t="s">
        <v>35</v>
      </c>
      <c r="G33" s="49"/>
      <c r="H33" s="32">
        <f>I29</f>
        <v>0</v>
      </c>
      <c r="I33" s="33">
        <f>G33*H33</f>
        <v>0</v>
      </c>
      <c r="L33" s="6"/>
      <c r="M33" s="6"/>
      <c r="N33" s="13"/>
    </row>
    <row r="34" spans="2:14" ht="6" customHeight="1" thickBot="1">
      <c r="B34" s="92"/>
      <c r="C34" s="93"/>
      <c r="D34" s="93"/>
      <c r="E34" s="93"/>
      <c r="F34" s="93"/>
      <c r="G34" s="93"/>
      <c r="H34" s="93"/>
      <c r="I34" s="94"/>
      <c r="N34" s="14"/>
    </row>
    <row r="35" spans="2:14" ht="18" thickBot="1">
      <c r="B35" s="38"/>
      <c r="C35" s="81" t="s">
        <v>37</v>
      </c>
      <c r="D35" s="81"/>
      <c r="E35" s="81"/>
      <c r="F35" s="81"/>
      <c r="G35" s="81"/>
      <c r="H35" s="82"/>
      <c r="I35" s="44">
        <f>I29+I31+I33</f>
        <v>0</v>
      </c>
      <c r="L35" s="6"/>
      <c r="M35" s="15"/>
      <c r="N35" s="13"/>
    </row>
    <row r="36" spans="2:14" ht="6" customHeight="1" thickBot="1">
      <c r="B36" s="36"/>
      <c r="C36" s="36"/>
      <c r="D36" s="36"/>
      <c r="E36" s="36"/>
      <c r="F36" s="36"/>
      <c r="G36" s="36"/>
      <c r="H36" s="36"/>
      <c r="I36" s="37"/>
      <c r="N36" s="13"/>
    </row>
    <row r="37" spans="2:14" ht="18" thickBot="1">
      <c r="B37" s="38"/>
      <c r="C37" s="87" t="s">
        <v>38</v>
      </c>
      <c r="D37" s="87"/>
      <c r="E37" s="87"/>
      <c r="F37" s="87"/>
      <c r="G37" s="87"/>
      <c r="H37" s="88"/>
      <c r="I37" s="39">
        <f>I35*0.19</f>
        <v>0</v>
      </c>
      <c r="L37" s="6"/>
      <c r="N37" s="13"/>
    </row>
    <row r="38" spans="2:14" ht="18" thickBot="1">
      <c r="B38" s="38"/>
      <c r="C38" s="81" t="s">
        <v>39</v>
      </c>
      <c r="D38" s="81"/>
      <c r="E38" s="81"/>
      <c r="F38" s="81"/>
      <c r="G38" s="81"/>
      <c r="H38" s="82"/>
      <c r="I38" s="45">
        <f>ROUND(I35+I37,1)</f>
        <v>0</v>
      </c>
      <c r="N38" s="13"/>
    </row>
    <row r="39" spans="2:14">
      <c r="B39" s="36"/>
      <c r="C39" s="40"/>
      <c r="D39" s="40"/>
      <c r="E39" s="40"/>
      <c r="F39" s="40"/>
      <c r="G39" s="40"/>
      <c r="H39" s="40"/>
      <c r="I39" s="41"/>
      <c r="N39" s="13"/>
    </row>
    <row r="40" spans="2:14">
      <c r="B40" s="72" t="s">
        <v>40</v>
      </c>
      <c r="C40" s="72"/>
      <c r="D40" s="89"/>
      <c r="E40" s="90"/>
      <c r="F40" s="90"/>
      <c r="G40" s="90"/>
      <c r="H40" s="90"/>
      <c r="I40" s="91"/>
    </row>
    <row r="41" spans="2:14" ht="6" customHeight="1">
      <c r="B41" s="36"/>
      <c r="C41" s="36"/>
      <c r="D41" s="36"/>
      <c r="E41" s="36"/>
      <c r="F41" s="36"/>
      <c r="G41" s="36"/>
      <c r="H41" s="36"/>
      <c r="I41" s="36"/>
    </row>
    <row r="42" spans="2:14" ht="15.6">
      <c r="B42" s="72" t="s">
        <v>41</v>
      </c>
      <c r="C42" s="72"/>
      <c r="D42" s="51"/>
      <c r="E42" s="50" t="s">
        <v>42</v>
      </c>
      <c r="F42" s="36"/>
      <c r="G42" s="40"/>
      <c r="H42" s="36"/>
      <c r="I42" s="36"/>
    </row>
    <row r="43" spans="2:14" ht="6" customHeight="1">
      <c r="B43" s="34"/>
      <c r="C43" s="34"/>
      <c r="D43" s="42"/>
      <c r="E43" s="36"/>
      <c r="F43" s="36"/>
      <c r="G43" s="40"/>
      <c r="H43" s="36"/>
      <c r="I43" s="36"/>
    </row>
    <row r="44" spans="2:14" ht="15.6">
      <c r="B44" s="36"/>
      <c r="C44" s="36"/>
      <c r="D44" s="51"/>
      <c r="E44" s="50" t="s">
        <v>43</v>
      </c>
      <c r="F44" s="36"/>
      <c r="G44" s="40"/>
      <c r="H44" s="36"/>
      <c r="I44" s="36"/>
    </row>
    <row r="45" spans="2:14" ht="6" customHeight="1">
      <c r="B45" s="36"/>
      <c r="C45" s="36"/>
      <c r="D45" s="42"/>
      <c r="E45" s="36"/>
      <c r="F45" s="36"/>
      <c r="G45" s="40"/>
      <c r="H45" s="36"/>
      <c r="I45" s="36"/>
    </row>
    <row r="46" spans="2:14" ht="16.2" thickBot="1">
      <c r="B46" s="72" t="s">
        <v>44</v>
      </c>
      <c r="C46" s="72"/>
      <c r="D46" s="52"/>
      <c r="E46" s="50" t="s">
        <v>45</v>
      </c>
      <c r="F46" s="36"/>
      <c r="G46" s="36"/>
      <c r="H46" s="36"/>
      <c r="I46" s="36"/>
    </row>
    <row r="47" spans="2:14" ht="79.5" customHeight="1" thickBot="1">
      <c r="B47" s="46"/>
      <c r="C47" s="47"/>
      <c r="D47" s="48"/>
      <c r="E47" s="47"/>
      <c r="F47" s="47"/>
      <c r="G47" s="70" t="s">
        <v>46</v>
      </c>
      <c r="H47" s="70"/>
      <c r="I47" s="71"/>
      <c r="N47" s="13"/>
    </row>
    <row r="48" spans="2:14" ht="15.6" thickBot="1">
      <c r="B48" s="96"/>
      <c r="C48" s="97"/>
      <c r="D48" s="97"/>
      <c r="E48" s="97"/>
      <c r="F48" s="97"/>
      <c r="G48" s="97"/>
      <c r="H48" s="97"/>
      <c r="I48" s="98"/>
      <c r="N48" s="13"/>
    </row>
    <row r="49" spans="2:14">
      <c r="B49" s="2"/>
      <c r="C49" s="2"/>
      <c r="D49" s="2"/>
      <c r="E49" s="2"/>
      <c r="F49" s="2"/>
      <c r="G49" s="2"/>
      <c r="H49" s="2"/>
      <c r="I49" s="17"/>
      <c r="N49" s="13"/>
    </row>
    <row r="50" spans="2:14">
      <c r="B50" s="7"/>
      <c r="C50" s="7"/>
      <c r="D50" s="2"/>
      <c r="E50" s="2"/>
      <c r="F50" s="2"/>
      <c r="G50" s="2"/>
      <c r="H50" s="2"/>
      <c r="I50" s="2"/>
      <c r="N50" s="13"/>
    </row>
    <row r="51" spans="2:14">
      <c r="B51" s="7"/>
      <c r="C51" s="7"/>
      <c r="D51" s="2"/>
      <c r="E51" s="2"/>
      <c r="F51" s="2"/>
      <c r="G51" s="2"/>
      <c r="H51" s="2"/>
      <c r="I51" s="2"/>
      <c r="N51" s="13"/>
    </row>
    <row r="52" spans="2:14">
      <c r="B52" s="7"/>
      <c r="C52" s="7"/>
      <c r="D52" s="2"/>
      <c r="E52" s="2"/>
      <c r="F52" s="2"/>
      <c r="G52" s="2"/>
      <c r="H52" s="2"/>
      <c r="I52" s="2"/>
      <c r="N52" s="13"/>
    </row>
    <row r="53" spans="2:14">
      <c r="B53" s="7"/>
      <c r="C53" s="7"/>
      <c r="D53" s="2"/>
      <c r="E53" s="2"/>
      <c r="F53" s="2"/>
      <c r="G53" s="2"/>
      <c r="H53" s="2"/>
      <c r="I53" s="2"/>
      <c r="N53" s="13"/>
    </row>
    <row r="54" spans="2:14">
      <c r="B54" s="7"/>
      <c r="C54" s="7"/>
      <c r="D54" s="2"/>
      <c r="E54" s="2"/>
      <c r="F54" s="2"/>
      <c r="G54" s="2"/>
      <c r="H54" s="2"/>
      <c r="I54" s="2"/>
      <c r="N54" s="13"/>
    </row>
    <row r="55" spans="2:14">
      <c r="B55" s="7"/>
      <c r="C55" s="7"/>
      <c r="D55" s="16"/>
      <c r="E55" s="2"/>
      <c r="F55" s="2"/>
      <c r="G55" s="2"/>
      <c r="H55" s="4"/>
      <c r="I55" s="2"/>
      <c r="N55" s="13"/>
    </row>
    <row r="56" spans="2:14">
      <c r="B56" s="7"/>
      <c r="C56" s="7"/>
      <c r="D56" s="3"/>
      <c r="E56" s="2"/>
      <c r="F56" s="2"/>
      <c r="G56" s="2"/>
      <c r="H56" s="3"/>
      <c r="I56" s="2"/>
      <c r="N56" s="13"/>
    </row>
    <row r="57" spans="2:14">
      <c r="B57" s="7"/>
      <c r="C57" s="7"/>
      <c r="D57" s="2"/>
      <c r="E57" s="2"/>
      <c r="F57" s="2"/>
      <c r="G57" s="2"/>
      <c r="H57" s="2"/>
      <c r="I57" s="2"/>
      <c r="N57" s="13"/>
    </row>
    <row r="58" spans="2:14">
      <c r="B58" s="7"/>
      <c r="C58" s="7"/>
      <c r="D58" s="2"/>
      <c r="E58" s="2"/>
      <c r="F58" s="2"/>
      <c r="G58" s="2"/>
      <c r="H58" s="2"/>
      <c r="I58" s="2"/>
      <c r="N58" s="13"/>
    </row>
    <row r="59" spans="2:14">
      <c r="B59" s="2"/>
      <c r="C59" s="2"/>
      <c r="E59" s="2"/>
      <c r="F59" s="2"/>
      <c r="G59" s="2"/>
      <c r="H59" s="2"/>
      <c r="I59" s="2"/>
    </row>
    <row r="60" spans="2:14">
      <c r="B60" s="2"/>
      <c r="C60" s="2"/>
      <c r="D60" s="2"/>
      <c r="E60" s="2"/>
      <c r="F60" s="2"/>
      <c r="G60" s="2"/>
      <c r="H60" s="2"/>
      <c r="I60" s="2"/>
    </row>
    <row r="61" spans="2:14">
      <c r="B61" s="2"/>
      <c r="C61" s="2"/>
      <c r="D61" s="2"/>
      <c r="E61" s="2"/>
      <c r="F61" s="2"/>
      <c r="G61" s="2"/>
      <c r="H61" s="2"/>
      <c r="I61" s="2"/>
      <c r="J61" s="2"/>
    </row>
    <row r="62" spans="2:14">
      <c r="B62" s="8"/>
      <c r="C62" s="9"/>
      <c r="D62" s="9"/>
      <c r="E62" s="9"/>
      <c r="F62" s="9"/>
      <c r="G62" s="9"/>
      <c r="H62" s="9"/>
      <c r="I62" s="9"/>
    </row>
    <row r="63" spans="2:14">
      <c r="B63" s="99"/>
      <c r="C63" s="99"/>
      <c r="D63" s="99"/>
      <c r="E63" s="9"/>
      <c r="F63" s="9"/>
      <c r="G63" s="99"/>
      <c r="H63" s="99"/>
      <c r="I63" s="99"/>
    </row>
    <row r="64" spans="2:14">
      <c r="B64" s="99"/>
      <c r="C64" s="99"/>
      <c r="D64" s="99"/>
      <c r="E64" s="9"/>
      <c r="F64" s="9"/>
      <c r="G64" s="99"/>
      <c r="H64" s="99"/>
      <c r="I64" s="99"/>
    </row>
    <row r="65" spans="1:9">
      <c r="B65" s="100"/>
      <c r="C65" s="100"/>
      <c r="D65" s="100"/>
      <c r="E65" s="9"/>
      <c r="F65" s="9"/>
      <c r="G65" s="100"/>
      <c r="H65" s="100"/>
      <c r="I65" s="100"/>
    </row>
    <row r="66" spans="1:9">
      <c r="A66" s="2"/>
      <c r="B66" s="9"/>
      <c r="C66" s="9"/>
      <c r="D66" s="9"/>
      <c r="E66" s="9"/>
      <c r="F66" s="9"/>
      <c r="G66" s="9"/>
      <c r="H66" s="9"/>
      <c r="I66" s="9"/>
    </row>
    <row r="67" spans="1:9">
      <c r="A67" s="2"/>
      <c r="B67" s="95"/>
      <c r="C67" s="95"/>
      <c r="D67" s="95"/>
      <c r="E67" s="95"/>
      <c r="F67" s="95"/>
      <c r="G67" s="95"/>
      <c r="H67" s="95"/>
      <c r="I67" s="95"/>
    </row>
    <row r="68" spans="1:9">
      <c r="A68" s="2"/>
      <c r="B68" s="2"/>
      <c r="C68" s="2"/>
      <c r="D68" s="2"/>
      <c r="E68" s="2"/>
      <c r="F68" s="2"/>
      <c r="G68" s="2"/>
      <c r="H68" s="2"/>
    </row>
    <row r="69" spans="1:9">
      <c r="A69" s="2"/>
      <c r="B69" s="2"/>
      <c r="C69" s="2"/>
      <c r="D69" s="2"/>
      <c r="F69" s="2"/>
      <c r="G69" s="2"/>
      <c r="H69" s="2"/>
    </row>
    <row r="70" spans="1:9">
      <c r="A70" s="2"/>
    </row>
    <row r="71" spans="1:9">
      <c r="A71" s="2"/>
    </row>
    <row r="72" spans="1:9">
      <c r="A72" s="2"/>
      <c r="D72" s="8"/>
    </row>
  </sheetData>
  <protectedRanges>
    <protectedRange sqref="H26:H27 H21:H25" name="P.Unitario"/>
    <protectedRange sqref="G33 G31 G26:G27 G21:G25" name="Cantidad"/>
  </protectedRanges>
  <mergeCells count="39">
    <mergeCell ref="C28:E28"/>
    <mergeCell ref="C27:E27"/>
    <mergeCell ref="C24:E24"/>
    <mergeCell ref="C25:E25"/>
    <mergeCell ref="B1:I1"/>
    <mergeCell ref="B2:I2"/>
    <mergeCell ref="B12:I12"/>
    <mergeCell ref="B13:I18"/>
    <mergeCell ref="C20:E20"/>
    <mergeCell ref="D7:I7"/>
    <mergeCell ref="D8:G8"/>
    <mergeCell ref="D10:I10"/>
    <mergeCell ref="D9:G9"/>
    <mergeCell ref="B4:I5"/>
    <mergeCell ref="C26:E26"/>
    <mergeCell ref="B67:I67"/>
    <mergeCell ref="B48:I48"/>
    <mergeCell ref="B63:D63"/>
    <mergeCell ref="G63:I63"/>
    <mergeCell ref="B64:D64"/>
    <mergeCell ref="G64:I64"/>
    <mergeCell ref="B65:D65"/>
    <mergeCell ref="G65:I65"/>
    <mergeCell ref="G47:I47"/>
    <mergeCell ref="B42:C42"/>
    <mergeCell ref="B46:C46"/>
    <mergeCell ref="C21:I21"/>
    <mergeCell ref="C23:E23"/>
    <mergeCell ref="C22:I22"/>
    <mergeCell ref="C35:H35"/>
    <mergeCell ref="B30:I30"/>
    <mergeCell ref="C31:E31"/>
    <mergeCell ref="C29:H29"/>
    <mergeCell ref="C33:E33"/>
    <mergeCell ref="C37:H37"/>
    <mergeCell ref="C38:H38"/>
    <mergeCell ref="B40:C40"/>
    <mergeCell ref="D40:I40"/>
    <mergeCell ref="B34:I34"/>
  </mergeCells>
  <printOptions horizontalCentered="1"/>
  <pageMargins left="0.7" right="0.7" top="0.75" bottom="0.75" header="0.3" footer="0.3"/>
  <pageSetup paperSize="9" scale="70" fitToHeight="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I T E M I Z A D O </vt:lpstr>
      <vt:lpstr>'I T E M I Z A D O '!Área_de_impresión</vt:lpstr>
    </vt:vector>
  </TitlesOfParts>
  <Manager/>
  <Company>Personal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 Castillo Figueroa</dc:creator>
  <cp:keywords/>
  <dc:description/>
  <cp:lastModifiedBy>María Pamela Venegas Guillén</cp:lastModifiedBy>
  <cp:revision/>
  <dcterms:created xsi:type="dcterms:W3CDTF">2010-05-11T13:00:01Z</dcterms:created>
  <dcterms:modified xsi:type="dcterms:W3CDTF">2026-06-25T15:42:51Z</dcterms:modified>
  <cp:category/>
  <cp:contentStatus/>
</cp:coreProperties>
</file>