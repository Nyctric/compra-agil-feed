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CARPETA TRABAJO ANA MARIA\CUADRO COMPARATIVO\2026\MATERIALES DE FERRETERIA PARA DIFERENTES ESTABLECIMIENTOS EDUCACIONALES-2\"/>
    </mc:Choice>
  </mc:AlternateContent>
  <bookViews>
    <workbookView showHorizontalScroll="0" showVerticalScroll="0" showSheetTabs="0" xWindow="0" yWindow="0" windowWidth="28800" windowHeight="1192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1" i="1" l="1"/>
  <c r="F40" i="1"/>
  <c r="B40" i="1"/>
  <c r="F41" i="1" l="1"/>
  <c r="F39" i="1"/>
  <c r="F38" i="1"/>
  <c r="F37" i="1"/>
  <c r="F36" i="1"/>
  <c r="F35" i="1"/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F30" i="1" l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34" i="1"/>
  <c r="F33" i="1"/>
  <c r="F32" i="1"/>
  <c r="F31" i="1"/>
  <c r="F15" i="1" l="1"/>
  <c r="F14" i="1"/>
  <c r="F13" i="1"/>
  <c r="F12" i="1"/>
  <c r="B12" i="1"/>
  <c r="F11" i="1" l="1"/>
  <c r="F42" i="1" s="1"/>
  <c r="F43" i="1" l="1"/>
  <c r="F44" i="1" l="1"/>
</calcChain>
</file>

<file path=xl/sharedStrings.xml><?xml version="1.0" encoding="utf-8"?>
<sst xmlns="http://schemas.openxmlformats.org/spreadsheetml/2006/main" count="44" uniqueCount="43">
  <si>
    <t>UNITARIO</t>
  </si>
  <si>
    <t>TOTAL</t>
  </si>
  <si>
    <t>SUB TOTAL</t>
  </si>
  <si>
    <t>CANTIDAD</t>
  </si>
  <si>
    <t>DETALLE</t>
  </si>
  <si>
    <t>FECHA: __________________________________________</t>
  </si>
  <si>
    <t>NOTA:  La adjudicación será total por archivo a un solo proveedor, por lo tanto los oferentes que ingresen los archivos con ofertas parciales quedarán automáticamente fuera de bases.</t>
  </si>
  <si>
    <t>LINEA</t>
  </si>
  <si>
    <t>I.V.A.</t>
  </si>
  <si>
    <t>ANEXO N° 2 OFERTA ECONÓMICO</t>
  </si>
  <si>
    <t>Los oferentes que no envíen el anexo N° 2 económico tendran cero puntos en la evaluacion del criterio</t>
  </si>
  <si>
    <t>MATERIALES PARA MANTENCIONES MENORES EN DIFERENTES ESTABLECIMIENTOS EDUCACIONALES MUNICIPALES DE LA COMUNA DE RENGO</t>
  </si>
  <si>
    <t>Perfil tubular cuadrado acero 50x50x2mm por 6 metros, despacho a la Escuela Luis Galdames</t>
  </si>
  <si>
    <r>
      <t xml:space="preserve">Electrodo 6011 1/8" 1 kg Tipo Indura, </t>
    </r>
    <r>
      <rPr>
        <b/>
        <sz val="12"/>
        <color theme="1"/>
        <rFont val="Calibri"/>
        <family val="2"/>
        <scheme val="minor"/>
      </rPr>
      <t>se requiere imagen para la evaluacion, despacho a la Escuela Luis Galdames</t>
    </r>
  </si>
  <si>
    <r>
      <t xml:space="preserve">Kit cerradura eléctrica portero 3010 citófono gris Tipo Poli, tono gris, alto 23cm, ancho 22,5cm y espesor 23mm, </t>
    </r>
    <r>
      <rPr>
        <b/>
        <sz val="12"/>
        <color theme="1"/>
        <rFont val="Calibri"/>
        <family val="2"/>
        <scheme val="minor"/>
      </rPr>
      <t>se requiere imagen para la evaluacion, despacho a la Escuela Victor Nicoletti Tamanini</t>
    </r>
  </si>
  <si>
    <t xml:space="preserve">Cable Pin 4x24 Awg Blanco x 100 mts, despacho a la Escuela Victor Nicoletti Tamanini </t>
  </si>
  <si>
    <t>Discos de corte 4 1/2, despacho a la Escuela Luis Galdames</t>
  </si>
  <si>
    <t>Discos desbaste 4 1/2, despacho a la Escuela Luis Galdames</t>
  </si>
  <si>
    <r>
      <t>Motor corredizo Tipo Veloti 800 - 700 kg. monofásica color verde</t>
    </r>
    <r>
      <rPr>
        <b/>
        <sz val="12"/>
        <color theme="1"/>
        <rFont val="Calibri"/>
        <family val="2"/>
        <scheme val="minor"/>
      </rPr>
      <t>, se requiere imagen para la evaluacion, despacho al Liceo Luis Urbina Flores</t>
    </r>
  </si>
  <si>
    <t>Metros de cremallera matálica para porton automatico, despacho al Liceo Luis Urbina Flores</t>
  </si>
  <si>
    <t>Caja estanca 50 x 50, despacho al Liceo Luis Urbina Flores</t>
  </si>
  <si>
    <t>Tubo PVC conduit 20mm x 3mt color naranjo, despacho al Liceo Luis Urbina Flores</t>
  </si>
  <si>
    <t>Metros de cable THHN 14 rojo, despacho al Liceo Luis Urbina Flores</t>
  </si>
  <si>
    <t>Metros de cable THHN 14 blanco, despacho al Liceo Luis Urbina Flores</t>
  </si>
  <si>
    <t>Metros de cable THHN 14 verde, despacho al Liceo Luis Urbina Flores</t>
  </si>
  <si>
    <t>Perfil Cuadrado Acero 40x40x2 mm 6 m, despacho al Liceo Luis Urbina Flores</t>
  </si>
  <si>
    <t>Plancha Zinc 5V 0.35 mm 89.5x200 cm Gris, despacho al Liceo Luis Urbina Flores</t>
  </si>
  <si>
    <t>Discos corte metal 4 1/2, despacho al Liceo Luis Urbina Flores</t>
  </si>
  <si>
    <t>Remache tipo pop 4x12 mm 100 unidades, despacho al Liceo Luis Urbina Flores</t>
  </si>
  <si>
    <t>Broca para metal 4.5 mm, despacho al Liceo Luis Urbina Flores</t>
  </si>
  <si>
    <r>
      <t xml:space="preserve">Electrodo 6011 3/32" 1 kg Tipo Indura, </t>
    </r>
    <r>
      <rPr>
        <b/>
        <sz val="12"/>
        <color theme="1"/>
        <rFont val="Calibri"/>
        <family val="2"/>
        <scheme val="minor"/>
      </rPr>
      <t>se requiere imagen para la evaluacion, despacho al Liceo Luis Urbina Flores</t>
    </r>
  </si>
  <si>
    <r>
      <t>Pomel con golilla 5/8 x 90 mm Tipo Lioi,</t>
    </r>
    <r>
      <rPr>
        <b/>
        <sz val="12"/>
        <color theme="1"/>
        <rFont val="Calibri"/>
        <family val="2"/>
        <scheme val="minor"/>
      </rPr>
      <t xml:space="preserve"> se requiere imagen para la evaluacion, despacho al Liceo Luis Urbina Flores</t>
    </r>
  </si>
  <si>
    <r>
      <t xml:space="preserve">Anticorrosivo Gris 1 litro Tipo Tricolor, </t>
    </r>
    <r>
      <rPr>
        <b/>
        <sz val="12"/>
        <color theme="1"/>
        <rFont val="Calibri"/>
        <family val="2"/>
        <scheme val="minor"/>
      </rPr>
      <t>se requiere imagen para la evaluacion, despacho al Liceo Luis Urbina Flores</t>
    </r>
  </si>
  <si>
    <t>Rodillo chiporro 5x18 cm Tipo Lizcal, se requiere imagen para la evaluacion, despacho al Liceo Luis Urbina Flores</t>
  </si>
  <si>
    <t>Litro aguarras mineral, despacho al Liceo Luis Urbina Flores</t>
  </si>
  <si>
    <t>Brocha de 2" mango madera, despacho al Liceo Luis Urbina Flores</t>
  </si>
  <si>
    <t>Saco de cemento especial 25 kilos, despacho al Liceo Luis Urbina Flores</t>
  </si>
  <si>
    <t>perfiles rectangular acero de 80x 40 x 2 de 6 metros, despacho a la Escuela El Naranjal Magaly Fuentes Reyes</t>
  </si>
  <si>
    <t>Perfil Cuadrado Acero 20x20x2 mm 6 metros, despacho a la Escuela El Naranjal Magaly Fuentes Reyes</t>
  </si>
  <si>
    <t>Perfil Rectangular Acero 40x20x2 mm 6 metros, despacho a la Escuela El Naranjal Magaly Fuentes Reyes</t>
  </si>
  <si>
    <t>Perfil Cuadrado Acero 40x40x2 mm 6 metros, despacho a la Escuela El Naranjal Magaly Fuentes Reyes</t>
  </si>
  <si>
    <t>Discos De Corte Std 4 1/2" 1 Mm Metal Inoxidable, despacho a la Escuela El Naranjal Magaly Fuentes Reyes</t>
  </si>
  <si>
    <r>
      <t>Electrodo 6011 3/32" 1 kg punto azul Tipo Indura,</t>
    </r>
    <r>
      <rPr>
        <b/>
        <sz val="12"/>
        <color theme="1"/>
        <rFont val="Calibri"/>
        <family val="2"/>
        <scheme val="minor"/>
      </rPr>
      <t xml:space="preserve"> se requiere imagen para la evaluacion, despacho a la Escuela El Naranjal Magaly Fuentes Reyes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</si>
</sst>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.00_ ;[Red]\-#,##0.00\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u/>
      <sz val="10"/>
      <color theme="1"/>
      <name val="Verdana"/>
      <family val="2"/>
    </font>
    <font>
      <sz val="12"/>
      <color theme="1"/>
      <name val="Times New Roman"/>
      <family val="1"/>
    </font>
    <font>
      <b/>
      <sz val="11"/>
      <color theme="1"/>
      <name val="Arial Narrow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/>
    <xf numFmtId="165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65" fontId="0" fillId="0" borderId="0" xfId="0" applyNumberFormat="1" applyBorder="1"/>
    <xf numFmtId="164" fontId="0" fillId="0" borderId="0" xfId="0" applyNumberFormat="1" applyBorder="1"/>
    <xf numFmtId="0" fontId="1" fillId="0" borderId="0" xfId="0" applyFont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5" fontId="1" fillId="0" borderId="0" xfId="0" applyNumberFormat="1" applyFont="1" applyBorder="1" applyAlignment="1">
      <alignment horizontal="right"/>
    </xf>
    <xf numFmtId="164" fontId="1" fillId="0" borderId="0" xfId="0" applyNumberFormat="1" applyFont="1" applyBorder="1"/>
    <xf numFmtId="0" fontId="0" fillId="0" borderId="0" xfId="0"/>
    <xf numFmtId="0" fontId="3" fillId="0" borderId="0" xfId="0" applyFont="1"/>
    <xf numFmtId="14" fontId="2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7" fillId="0" borderId="0" xfId="0" applyFont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2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12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38100</xdr:colOff>
      <xdr:row>3</xdr:row>
      <xdr:rowOff>79581</xdr:rowOff>
    </xdr:to>
    <xdr:pic>
      <xdr:nvPicPr>
        <xdr:cNvPr id="3" name="image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8267700" cy="651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752475</xdr:colOff>
      <xdr:row>2</xdr:row>
      <xdr:rowOff>9525</xdr:rowOff>
    </xdr:from>
    <xdr:to>
      <xdr:col>2</xdr:col>
      <xdr:colOff>485775</xdr:colOff>
      <xdr:row>4</xdr:row>
      <xdr:rowOff>161925</xdr:rowOff>
    </xdr:to>
    <xdr:pic>
      <xdr:nvPicPr>
        <xdr:cNvPr id="4" name="image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390525"/>
          <a:ext cx="12192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1019175</xdr:colOff>
      <xdr:row>2</xdr:row>
      <xdr:rowOff>133350</xdr:rowOff>
    </xdr:from>
    <xdr:to>
      <xdr:col>6</xdr:col>
      <xdr:colOff>19050</xdr:colOff>
      <xdr:row>4</xdr:row>
      <xdr:rowOff>133350</xdr:rowOff>
    </xdr:to>
    <xdr:pic>
      <xdr:nvPicPr>
        <xdr:cNvPr id="5" name="image4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514350"/>
          <a:ext cx="11525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showGridLines="0" tabSelected="1" zoomScaleNormal="100" workbookViewId="0">
      <selection activeCell="B7" sqref="B7:F7"/>
    </sheetView>
  </sheetViews>
  <sheetFormatPr baseColWidth="10" defaultRowHeight="15" x14ac:dyDescent="0.25"/>
  <cols>
    <col min="2" max="2" width="10.85546875" style="1" customWidth="1"/>
    <col min="3" max="3" width="68.28515625" bestFit="1" customWidth="1"/>
    <col min="4" max="4" width="12" style="17" customWidth="1"/>
    <col min="5" max="5" width="16.7109375" style="3" customWidth="1"/>
    <col min="6" max="6" width="15.5703125" style="2" customWidth="1"/>
  </cols>
  <sheetData>
    <row r="1" spans="1:8" s="17" customFormat="1" x14ac:dyDescent="0.25">
      <c r="B1" s="1"/>
      <c r="E1" s="3"/>
      <c r="F1" s="2"/>
    </row>
    <row r="2" spans="1:8" s="17" customFormat="1" x14ac:dyDescent="0.25">
      <c r="B2" s="1"/>
      <c r="E2" s="3"/>
      <c r="F2" s="2"/>
    </row>
    <row r="3" spans="1:8" s="17" customFormat="1" x14ac:dyDescent="0.25">
      <c r="B3" s="24"/>
      <c r="E3" s="3"/>
      <c r="F3" s="2"/>
    </row>
    <row r="4" spans="1:8" s="17" customFormat="1" x14ac:dyDescent="0.25">
      <c r="B4" s="24"/>
      <c r="E4" s="3"/>
      <c r="F4" s="2"/>
    </row>
    <row r="5" spans="1:8" s="17" customFormat="1" x14ac:dyDescent="0.25">
      <c r="B5" s="24"/>
      <c r="E5" s="3"/>
      <c r="F5" s="2"/>
    </row>
    <row r="6" spans="1:8" s="17" customFormat="1" ht="36.75" customHeight="1" x14ac:dyDescent="0.25">
      <c r="B6" s="50" t="s">
        <v>9</v>
      </c>
      <c r="C6" s="50"/>
      <c r="D6" s="50"/>
      <c r="E6" s="50"/>
      <c r="F6" s="50"/>
    </row>
    <row r="7" spans="1:8" ht="33.75" customHeight="1" x14ac:dyDescent="0.25">
      <c r="A7" s="23"/>
      <c r="B7" s="49" t="s">
        <v>11</v>
      </c>
      <c r="C7" s="49"/>
      <c r="D7" s="49"/>
      <c r="E7" s="49"/>
      <c r="F7" s="49"/>
      <c r="G7" s="23"/>
      <c r="H7" s="18"/>
    </row>
    <row r="8" spans="1:8" ht="15.75" x14ac:dyDescent="0.25">
      <c r="A8" s="21"/>
      <c r="B8" s="19"/>
      <c r="C8" s="19"/>
      <c r="D8" s="19"/>
      <c r="E8" s="19"/>
      <c r="F8" s="19"/>
      <c r="G8" s="19"/>
      <c r="H8" s="18"/>
    </row>
    <row r="9" spans="1:8" s="17" customFormat="1" ht="16.5" thickBot="1" x14ac:dyDescent="0.3">
      <c r="A9" s="22"/>
      <c r="B9" s="22"/>
      <c r="C9" s="22"/>
      <c r="D9" s="22"/>
      <c r="E9" s="22"/>
      <c r="F9" s="20"/>
      <c r="G9" s="19"/>
      <c r="H9" s="18"/>
    </row>
    <row r="10" spans="1:8" ht="15.75" thickBot="1" x14ac:dyDescent="0.3">
      <c r="B10" s="25" t="s">
        <v>7</v>
      </c>
      <c r="C10" s="31" t="s">
        <v>4</v>
      </c>
      <c r="D10" s="31" t="s">
        <v>3</v>
      </c>
      <c r="E10" s="26" t="s">
        <v>0</v>
      </c>
      <c r="F10" s="27" t="s">
        <v>1</v>
      </c>
    </row>
    <row r="11" spans="1:8" s="17" customFormat="1" ht="50.25" customHeight="1" x14ac:dyDescent="0.25">
      <c r="B11" s="35">
        <v>1</v>
      </c>
      <c r="C11" s="36" t="s">
        <v>14</v>
      </c>
      <c r="D11" s="37">
        <v>1</v>
      </c>
      <c r="E11" s="38"/>
      <c r="F11" s="39">
        <f>ROUND(D11*E11,0)</f>
        <v>0</v>
      </c>
    </row>
    <row r="12" spans="1:8" s="17" customFormat="1" ht="30" customHeight="1" x14ac:dyDescent="0.25">
      <c r="B12" s="40">
        <f>+B11+1</f>
        <v>2</v>
      </c>
      <c r="C12" s="34" t="s">
        <v>15</v>
      </c>
      <c r="D12" s="32">
        <v>1</v>
      </c>
      <c r="E12" s="33"/>
      <c r="F12" s="41">
        <f t="shared" ref="F12:F30" si="0">ROUND(D12*E12,0)</f>
        <v>0</v>
      </c>
    </row>
    <row r="13" spans="1:8" s="17" customFormat="1" ht="30" customHeight="1" x14ac:dyDescent="0.25">
      <c r="B13" s="40">
        <f t="shared" ref="B13:B40" si="1">+B12+1</f>
        <v>3</v>
      </c>
      <c r="C13" s="34" t="s">
        <v>12</v>
      </c>
      <c r="D13" s="32">
        <v>5</v>
      </c>
      <c r="E13" s="33"/>
      <c r="F13" s="41">
        <f t="shared" si="0"/>
        <v>0</v>
      </c>
    </row>
    <row r="14" spans="1:8" s="17" customFormat="1" ht="30" customHeight="1" x14ac:dyDescent="0.25">
      <c r="B14" s="40">
        <f t="shared" si="1"/>
        <v>4</v>
      </c>
      <c r="C14" s="34" t="s">
        <v>13</v>
      </c>
      <c r="D14" s="32">
        <v>1</v>
      </c>
      <c r="E14" s="33"/>
      <c r="F14" s="41">
        <f t="shared" si="0"/>
        <v>0</v>
      </c>
    </row>
    <row r="15" spans="1:8" s="17" customFormat="1" ht="30" customHeight="1" x14ac:dyDescent="0.25">
      <c r="B15" s="40">
        <f t="shared" si="1"/>
        <v>5</v>
      </c>
      <c r="C15" s="34" t="s">
        <v>16</v>
      </c>
      <c r="D15" s="32">
        <v>6</v>
      </c>
      <c r="E15" s="33"/>
      <c r="F15" s="41">
        <f t="shared" si="0"/>
        <v>0</v>
      </c>
    </row>
    <row r="16" spans="1:8" s="17" customFormat="1" ht="30" customHeight="1" x14ac:dyDescent="0.25">
      <c r="B16" s="40">
        <f t="shared" si="1"/>
        <v>6</v>
      </c>
      <c r="C16" s="34" t="s">
        <v>17</v>
      </c>
      <c r="D16" s="32">
        <v>2</v>
      </c>
      <c r="E16" s="33"/>
      <c r="F16" s="41">
        <f t="shared" si="0"/>
        <v>0</v>
      </c>
    </row>
    <row r="17" spans="2:6" s="17" customFormat="1" ht="30" customHeight="1" x14ac:dyDescent="0.25">
      <c r="B17" s="40">
        <f t="shared" si="1"/>
        <v>7</v>
      </c>
      <c r="C17" s="34" t="s">
        <v>18</v>
      </c>
      <c r="D17" s="32">
        <v>1</v>
      </c>
      <c r="E17" s="33"/>
      <c r="F17" s="41">
        <f t="shared" si="0"/>
        <v>0</v>
      </c>
    </row>
    <row r="18" spans="2:6" s="17" customFormat="1" ht="30" customHeight="1" x14ac:dyDescent="0.25">
      <c r="B18" s="40">
        <f t="shared" si="1"/>
        <v>8</v>
      </c>
      <c r="C18" s="34" t="s">
        <v>19</v>
      </c>
      <c r="D18" s="32">
        <v>5</v>
      </c>
      <c r="E18" s="33"/>
      <c r="F18" s="41">
        <f t="shared" si="0"/>
        <v>0</v>
      </c>
    </row>
    <row r="19" spans="2:6" s="17" customFormat="1" ht="30" customHeight="1" x14ac:dyDescent="0.25">
      <c r="B19" s="40">
        <f t="shared" si="1"/>
        <v>9</v>
      </c>
      <c r="C19" s="34" t="s">
        <v>20</v>
      </c>
      <c r="D19" s="32">
        <v>1</v>
      </c>
      <c r="E19" s="33"/>
      <c r="F19" s="41">
        <f t="shared" si="0"/>
        <v>0</v>
      </c>
    </row>
    <row r="20" spans="2:6" s="17" customFormat="1" ht="30" customHeight="1" x14ac:dyDescent="0.25">
      <c r="B20" s="40">
        <f t="shared" si="1"/>
        <v>10</v>
      </c>
      <c r="C20" s="34" t="s">
        <v>21</v>
      </c>
      <c r="D20" s="32">
        <v>6</v>
      </c>
      <c r="E20" s="33"/>
      <c r="F20" s="41">
        <f t="shared" si="0"/>
        <v>0</v>
      </c>
    </row>
    <row r="21" spans="2:6" s="17" customFormat="1" ht="30" customHeight="1" x14ac:dyDescent="0.25">
      <c r="B21" s="40">
        <f t="shared" si="1"/>
        <v>11</v>
      </c>
      <c r="C21" s="34" t="s">
        <v>22</v>
      </c>
      <c r="D21" s="32">
        <v>15</v>
      </c>
      <c r="E21" s="33"/>
      <c r="F21" s="41">
        <f t="shared" si="0"/>
        <v>0</v>
      </c>
    </row>
    <row r="22" spans="2:6" s="17" customFormat="1" ht="30" customHeight="1" x14ac:dyDescent="0.25">
      <c r="B22" s="40">
        <f t="shared" si="1"/>
        <v>12</v>
      </c>
      <c r="C22" s="34" t="s">
        <v>23</v>
      </c>
      <c r="D22" s="32">
        <v>15</v>
      </c>
      <c r="E22" s="33"/>
      <c r="F22" s="41">
        <f t="shared" si="0"/>
        <v>0</v>
      </c>
    </row>
    <row r="23" spans="2:6" s="17" customFormat="1" ht="30" customHeight="1" x14ac:dyDescent="0.25">
      <c r="B23" s="40">
        <f t="shared" si="1"/>
        <v>13</v>
      </c>
      <c r="C23" s="34" t="s">
        <v>24</v>
      </c>
      <c r="D23" s="32">
        <v>15</v>
      </c>
      <c r="E23" s="33"/>
      <c r="F23" s="41">
        <f t="shared" si="0"/>
        <v>0</v>
      </c>
    </row>
    <row r="24" spans="2:6" s="17" customFormat="1" ht="30" customHeight="1" x14ac:dyDescent="0.25">
      <c r="B24" s="40">
        <f t="shared" si="1"/>
        <v>14</v>
      </c>
      <c r="C24" s="34" t="s">
        <v>25</v>
      </c>
      <c r="D24" s="32">
        <v>9</v>
      </c>
      <c r="E24" s="33"/>
      <c r="F24" s="41">
        <f t="shared" si="0"/>
        <v>0</v>
      </c>
    </row>
    <row r="25" spans="2:6" s="17" customFormat="1" ht="30" customHeight="1" x14ac:dyDescent="0.25">
      <c r="B25" s="40">
        <f t="shared" si="1"/>
        <v>15</v>
      </c>
      <c r="C25" s="34" t="s">
        <v>26</v>
      </c>
      <c r="D25" s="32">
        <v>6</v>
      </c>
      <c r="E25" s="33"/>
      <c r="F25" s="41">
        <f t="shared" si="0"/>
        <v>0</v>
      </c>
    </row>
    <row r="26" spans="2:6" s="17" customFormat="1" ht="30" customHeight="1" x14ac:dyDescent="0.25">
      <c r="B26" s="40">
        <f t="shared" si="1"/>
        <v>16</v>
      </c>
      <c r="C26" s="34" t="s">
        <v>30</v>
      </c>
      <c r="D26" s="32">
        <v>2</v>
      </c>
      <c r="E26" s="33"/>
      <c r="F26" s="41">
        <f t="shared" si="0"/>
        <v>0</v>
      </c>
    </row>
    <row r="27" spans="2:6" s="17" customFormat="1" ht="30" customHeight="1" x14ac:dyDescent="0.25">
      <c r="B27" s="40">
        <f t="shared" si="1"/>
        <v>17</v>
      </c>
      <c r="C27" s="34" t="s">
        <v>27</v>
      </c>
      <c r="D27" s="32">
        <v>10</v>
      </c>
      <c r="E27" s="33"/>
      <c r="F27" s="41">
        <f t="shared" si="0"/>
        <v>0</v>
      </c>
    </row>
    <row r="28" spans="2:6" s="17" customFormat="1" ht="30" customHeight="1" x14ac:dyDescent="0.25">
      <c r="B28" s="40">
        <f t="shared" si="1"/>
        <v>18</v>
      </c>
      <c r="C28" s="34" t="s">
        <v>28</v>
      </c>
      <c r="D28" s="32">
        <v>2</v>
      </c>
      <c r="E28" s="33"/>
      <c r="F28" s="41">
        <f t="shared" si="0"/>
        <v>0</v>
      </c>
    </row>
    <row r="29" spans="2:6" s="17" customFormat="1" ht="30" customHeight="1" x14ac:dyDescent="0.25">
      <c r="B29" s="40">
        <f t="shared" si="1"/>
        <v>19</v>
      </c>
      <c r="C29" s="34" t="s">
        <v>29</v>
      </c>
      <c r="D29" s="32">
        <v>3</v>
      </c>
      <c r="E29" s="33"/>
      <c r="F29" s="41">
        <f t="shared" si="0"/>
        <v>0</v>
      </c>
    </row>
    <row r="30" spans="2:6" s="17" customFormat="1" ht="30" customHeight="1" x14ac:dyDescent="0.25">
      <c r="B30" s="40">
        <f t="shared" si="1"/>
        <v>20</v>
      </c>
      <c r="C30" s="34" t="s">
        <v>31</v>
      </c>
      <c r="D30" s="32">
        <v>2</v>
      </c>
      <c r="E30" s="33"/>
      <c r="F30" s="41">
        <f t="shared" si="0"/>
        <v>0</v>
      </c>
    </row>
    <row r="31" spans="2:6" s="17" customFormat="1" ht="30" customHeight="1" x14ac:dyDescent="0.25">
      <c r="B31" s="40">
        <f t="shared" si="1"/>
        <v>21</v>
      </c>
      <c r="C31" s="34" t="s">
        <v>32</v>
      </c>
      <c r="D31" s="32">
        <v>1</v>
      </c>
      <c r="E31" s="33"/>
      <c r="F31" s="41">
        <f>ROUND(D31*E31,0)</f>
        <v>0</v>
      </c>
    </row>
    <row r="32" spans="2:6" s="17" customFormat="1" ht="30" customHeight="1" x14ac:dyDescent="0.25">
      <c r="B32" s="40">
        <f t="shared" si="1"/>
        <v>22</v>
      </c>
      <c r="C32" s="34" t="s">
        <v>34</v>
      </c>
      <c r="D32" s="32">
        <v>1</v>
      </c>
      <c r="E32" s="33"/>
      <c r="F32" s="41">
        <f>ROUND(D32*E32,0)</f>
        <v>0</v>
      </c>
    </row>
    <row r="33" spans="1:7" s="17" customFormat="1" ht="30" customHeight="1" x14ac:dyDescent="0.25">
      <c r="B33" s="40">
        <f t="shared" si="1"/>
        <v>23</v>
      </c>
      <c r="C33" s="34" t="s">
        <v>35</v>
      </c>
      <c r="D33" s="32">
        <v>1</v>
      </c>
      <c r="E33" s="33"/>
      <c r="F33" s="41">
        <f>ROUND(D33*E33,0)</f>
        <v>0</v>
      </c>
    </row>
    <row r="34" spans="1:7" s="17" customFormat="1" ht="30" customHeight="1" x14ac:dyDescent="0.25">
      <c r="B34" s="40">
        <f t="shared" si="1"/>
        <v>24</v>
      </c>
      <c r="C34" s="52" t="s">
        <v>33</v>
      </c>
      <c r="D34" s="32">
        <v>1</v>
      </c>
      <c r="E34" s="33"/>
      <c r="F34" s="41">
        <f>ROUND(D34*E34,0)</f>
        <v>0</v>
      </c>
    </row>
    <row r="35" spans="1:7" s="17" customFormat="1" ht="30" customHeight="1" x14ac:dyDescent="0.25">
      <c r="B35" s="40">
        <f t="shared" si="1"/>
        <v>25</v>
      </c>
      <c r="C35" s="34" t="s">
        <v>36</v>
      </c>
      <c r="D35" s="32">
        <v>1</v>
      </c>
      <c r="E35" s="33"/>
      <c r="F35" s="41">
        <f t="shared" ref="F35:F41" si="2">ROUND(D35*E35,0)</f>
        <v>0</v>
      </c>
    </row>
    <row r="36" spans="1:7" s="17" customFormat="1" ht="30" customHeight="1" x14ac:dyDescent="0.25">
      <c r="B36" s="40">
        <f t="shared" si="1"/>
        <v>26</v>
      </c>
      <c r="C36" s="34" t="s">
        <v>37</v>
      </c>
      <c r="D36" s="32">
        <v>3</v>
      </c>
      <c r="E36" s="33"/>
      <c r="F36" s="41">
        <f t="shared" si="2"/>
        <v>0</v>
      </c>
    </row>
    <row r="37" spans="1:7" s="17" customFormat="1" ht="30" customHeight="1" x14ac:dyDescent="0.25">
      <c r="B37" s="40">
        <f t="shared" si="1"/>
        <v>27</v>
      </c>
      <c r="C37" s="34" t="s">
        <v>38</v>
      </c>
      <c r="D37" s="32">
        <v>7</v>
      </c>
      <c r="E37" s="33"/>
      <c r="F37" s="41">
        <f t="shared" si="2"/>
        <v>0</v>
      </c>
    </row>
    <row r="38" spans="1:7" s="17" customFormat="1" ht="30" customHeight="1" x14ac:dyDescent="0.25">
      <c r="B38" s="40">
        <f t="shared" si="1"/>
        <v>28</v>
      </c>
      <c r="C38" s="34" t="s">
        <v>39</v>
      </c>
      <c r="D38" s="32">
        <v>3</v>
      </c>
      <c r="E38" s="33"/>
      <c r="F38" s="41">
        <f t="shared" si="2"/>
        <v>0</v>
      </c>
    </row>
    <row r="39" spans="1:7" s="17" customFormat="1" ht="30" customHeight="1" x14ac:dyDescent="0.25">
      <c r="B39" s="40">
        <f t="shared" si="1"/>
        <v>29</v>
      </c>
      <c r="C39" s="34" t="s">
        <v>40</v>
      </c>
      <c r="D39" s="32">
        <v>2</v>
      </c>
      <c r="E39" s="33"/>
      <c r="F39" s="41">
        <f t="shared" si="2"/>
        <v>0</v>
      </c>
    </row>
    <row r="40" spans="1:7" s="17" customFormat="1" ht="30" customHeight="1" x14ac:dyDescent="0.25">
      <c r="B40" s="40">
        <f t="shared" si="1"/>
        <v>30</v>
      </c>
      <c r="C40" s="34" t="s">
        <v>41</v>
      </c>
      <c r="D40" s="32">
        <v>20</v>
      </c>
      <c r="E40" s="33"/>
      <c r="F40" s="41">
        <f t="shared" ref="F40" si="3">ROUND(D40*E40,0)</f>
        <v>0</v>
      </c>
    </row>
    <row r="41" spans="1:7" s="17" customFormat="1" ht="30" customHeight="1" thickBot="1" x14ac:dyDescent="0.3">
      <c r="B41" s="42">
        <f>+B40+1</f>
        <v>31</v>
      </c>
      <c r="C41" s="43" t="s">
        <v>42</v>
      </c>
      <c r="D41" s="44">
        <v>5</v>
      </c>
      <c r="E41" s="45"/>
      <c r="F41" s="46">
        <f t="shared" si="2"/>
        <v>0</v>
      </c>
    </row>
    <row r="42" spans="1:7" ht="15" customHeight="1" thickBot="1" x14ac:dyDescent="0.3">
      <c r="E42" s="4" t="s">
        <v>2</v>
      </c>
      <c r="F42" s="5">
        <f>SUM(F11:F41)</f>
        <v>0</v>
      </c>
    </row>
    <row r="43" spans="1:7" ht="15" customHeight="1" thickBot="1" x14ac:dyDescent="0.3">
      <c r="E43" s="6" t="s">
        <v>8</v>
      </c>
      <c r="F43" s="7">
        <f>ROUND(F42*19%,0)</f>
        <v>0</v>
      </c>
    </row>
    <row r="44" spans="1:7" ht="15" customHeight="1" thickBot="1" x14ac:dyDescent="0.3">
      <c r="E44" s="6" t="s">
        <v>1</v>
      </c>
      <c r="F44" s="7">
        <f>+F42+F43</f>
        <v>0</v>
      </c>
    </row>
    <row r="45" spans="1:7" ht="46.5" customHeight="1" x14ac:dyDescent="0.25">
      <c r="A45" s="8"/>
      <c r="B45" s="12"/>
      <c r="C45" s="12"/>
      <c r="D45" s="12"/>
      <c r="E45" s="13"/>
      <c r="F45" s="14"/>
      <c r="G45" s="8"/>
    </row>
    <row r="46" spans="1:7" ht="15.75" customHeight="1" x14ac:dyDescent="0.25">
      <c r="A46" s="8"/>
      <c r="B46" s="51" t="s">
        <v>5</v>
      </c>
      <c r="C46" s="51"/>
      <c r="D46" s="51"/>
      <c r="E46" s="51"/>
      <c r="F46" s="51"/>
      <c r="G46" s="8"/>
    </row>
    <row r="47" spans="1:7" ht="15.75" customHeight="1" x14ac:dyDescent="0.25">
      <c r="A47" s="8"/>
      <c r="B47" s="30"/>
      <c r="C47" s="30"/>
      <c r="D47" s="30"/>
      <c r="E47" s="30"/>
      <c r="F47" s="30"/>
      <c r="G47" s="8"/>
    </row>
    <row r="48" spans="1:7" ht="16.5" x14ac:dyDescent="0.25">
      <c r="A48" s="8"/>
      <c r="B48" s="28"/>
      <c r="E48" s="15"/>
      <c r="F48" s="16"/>
      <c r="G48" s="8"/>
    </row>
    <row r="49" spans="1:7" ht="42.75" customHeight="1" x14ac:dyDescent="0.25">
      <c r="A49" s="8"/>
      <c r="B49" s="48" t="s">
        <v>6</v>
      </c>
      <c r="C49" s="48"/>
      <c r="D49" s="48"/>
      <c r="E49" s="48"/>
      <c r="F49" s="48"/>
      <c r="G49" s="8"/>
    </row>
    <row r="50" spans="1:7" x14ac:dyDescent="0.25">
      <c r="A50" s="8"/>
      <c r="B50" s="29"/>
      <c r="E50" s="10"/>
      <c r="F50" s="11"/>
      <c r="G50" s="8"/>
    </row>
    <row r="51" spans="1:7" x14ac:dyDescent="0.25">
      <c r="A51" s="8"/>
      <c r="B51" s="48" t="s">
        <v>10</v>
      </c>
      <c r="C51" s="48"/>
      <c r="D51" s="48"/>
      <c r="E51" s="48"/>
      <c r="F51" s="48"/>
      <c r="G51" s="8"/>
    </row>
    <row r="52" spans="1:7" x14ac:dyDescent="0.25">
      <c r="A52" s="8"/>
      <c r="B52" s="48"/>
      <c r="C52" s="48"/>
      <c r="D52" s="48"/>
      <c r="E52" s="48"/>
      <c r="F52" s="48"/>
      <c r="G52" s="8"/>
    </row>
    <row r="53" spans="1:7" x14ac:dyDescent="0.25">
      <c r="A53" s="8"/>
      <c r="B53" s="48"/>
      <c r="C53" s="48"/>
      <c r="D53" s="48"/>
      <c r="E53" s="48"/>
      <c r="F53" s="48"/>
      <c r="G53" s="8"/>
    </row>
    <row r="54" spans="1:7" x14ac:dyDescent="0.25">
      <c r="A54" s="8"/>
      <c r="B54" s="9"/>
      <c r="C54" s="8"/>
      <c r="D54" s="8"/>
      <c r="E54" s="15"/>
      <c r="F54" s="16"/>
      <c r="G54" s="8"/>
    </row>
    <row r="55" spans="1:7" x14ac:dyDescent="0.25">
      <c r="A55" s="8"/>
      <c r="B55" s="47"/>
      <c r="C55" s="47"/>
      <c r="D55" s="47"/>
      <c r="E55" s="47"/>
      <c r="F55" s="47"/>
      <c r="G55" s="8"/>
    </row>
    <row r="56" spans="1:7" x14ac:dyDescent="0.25">
      <c r="A56" s="8"/>
      <c r="B56" s="47"/>
      <c r="C56" s="47"/>
      <c r="D56" s="47"/>
      <c r="E56" s="47"/>
      <c r="F56" s="47"/>
      <c r="G56" s="8"/>
    </row>
    <row r="57" spans="1:7" x14ac:dyDescent="0.25">
      <c r="A57" s="8"/>
      <c r="B57" s="47"/>
      <c r="C57" s="47"/>
      <c r="D57" s="47"/>
      <c r="E57" s="47"/>
      <c r="F57" s="47"/>
      <c r="G57" s="8"/>
    </row>
  </sheetData>
  <mergeCells count="6">
    <mergeCell ref="B55:F57"/>
    <mergeCell ref="B51:F53"/>
    <mergeCell ref="B7:F7"/>
    <mergeCell ref="B6:F6"/>
    <mergeCell ref="B46:F46"/>
    <mergeCell ref="B49:F49"/>
  </mergeCells>
  <pageMargins left="0.51181102362204722" right="0.51181102362204722" top="0.74803149606299213" bottom="0.74803149606299213" header="0.31496062992125984" footer="0.31496062992125984"/>
  <pageSetup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2021-03-01T18:09:15Z</cp:lastPrinted>
  <dcterms:created xsi:type="dcterms:W3CDTF">2018-01-31T16:01:16Z</dcterms:created>
  <dcterms:modified xsi:type="dcterms:W3CDTF">2026-07-02T15:51:20Z</dcterms:modified>
</cp:coreProperties>
</file>