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LANILLA PARA COMPRA ÁGIL\JUNIO\"/>
    </mc:Choice>
  </mc:AlternateContent>
  <xr:revisionPtr revIDLastSave="0" documentId="13_ncr:1_{86978CCC-6C7F-438E-B358-83794069209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EQUERIMI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/>
  <c r="A33" i="1" s="1"/>
  <c r="F3" i="1"/>
  <c r="H3" i="1" s="1"/>
  <c r="F22" i="1" l="1"/>
  <c r="F23" i="1" l="1"/>
</calcChain>
</file>

<file path=xl/sharedStrings.xml><?xml version="1.0" encoding="utf-8"?>
<sst xmlns="http://schemas.openxmlformats.org/spreadsheetml/2006/main" count="105" uniqueCount="101">
  <si>
    <t>CANTIDAD</t>
  </si>
  <si>
    <t>PRODUCTO</t>
  </si>
  <si>
    <t>ITEM</t>
  </si>
  <si>
    <t>Precio total</t>
  </si>
  <si>
    <t>IVA</t>
  </si>
  <si>
    <t>TOTAL</t>
  </si>
  <si>
    <t>___________________________________________________________</t>
  </si>
  <si>
    <t>Melipilla, ________ de ________ de ____________</t>
  </si>
  <si>
    <t>ID OFICIO</t>
  </si>
  <si>
    <t>Nota: Se considerarán en el cuadro comparativo de precios solamente los proveedores que</t>
  </si>
  <si>
    <t>especificaciones ni características técnicas indicadas, estas últimas serán declaradas inadmisibles.</t>
  </si>
  <si>
    <t>Vigencia de la cotización: _____________.</t>
  </si>
  <si>
    <t>Plazo de entrega: ____________________.</t>
  </si>
  <si>
    <t>declarada inadmisible.</t>
  </si>
  <si>
    <t>La selección del proveedor se regirá bajo el siguiente orden, considerando previamente el</t>
  </si>
  <si>
    <t>cumplimiento de las descripciones técnicas de la oferta según lo descrito en el presente</t>
  </si>
  <si>
    <t>anexo:</t>
  </si>
  <si>
    <t>1. Menor precio ofertado.</t>
  </si>
  <si>
    <t>2. Menor plazo de entrega.</t>
  </si>
  <si>
    <t>De la entrega y facturación:</t>
  </si>
  <si>
    <t xml:space="preserve">  - En caso de entrega parcializada, se deberá realizar con guía de despacho. Facturas parcializadas podrían ser rechazadas.</t>
  </si>
  <si>
    <t>MULTAS POR INCUMPLIMIENTO.</t>
  </si>
  <si>
    <t>La Corporación Municipal de Melipilla, a proposición de la Contraparte Técnica, aplicará la multa que corresponda al proveedor, cuando exista un incumplimiento de sus obligaciones contractuales.</t>
  </si>
  <si>
    <t xml:space="preserve">  Tratándose de un incumplimiento grave, la Contraparte Técnica podrá, además, proponer el término anticipado al contrato.</t>
  </si>
  <si>
    <t> </t>
  </si>
  <si>
    <t>Se entenderá que hay incumplimiento, si no se da cumplimiento a lo señalado en el presente anexo económico, en las siguientes situaciones:</t>
  </si>
  <si>
    <t>3.         Si se incurre en el incumplimiento de los requerimientos mínimos solicitados en la</t>
  </si>
  <si>
    <t>compra ágil y en el presente documento.</t>
  </si>
  <si>
    <t>El monto de las multas se aplicará sobre el precio neto (sin impuestos) y será de 1% por día hábil</t>
  </si>
  <si>
    <t>respecto a los numerales 1), y de 1,5% respecto a los numerales 2 y 3), precedentes por cada</t>
  </si>
  <si>
    <t>infracción, las que serán acumulables. Con todo, las multas que se apliquen no podrán exceder de</t>
  </si>
  <si>
    <t>un 40% del valor de la orden de compra.</t>
  </si>
  <si>
    <t>Se entenderá que hay incumplimiento grave, pudiendo ponerse término al contrato, en las</t>
  </si>
  <si>
    <t>siguientes situaciones:</t>
  </si>
  <si>
    <t>1.         Ante incumplimientos que superen los plazos señalados en los numerales 1) y 2).</t>
  </si>
  <si>
    <t>2.         Ante incumplimientos reiterados de cualquiera de las situaciones señaladas en los</t>
  </si>
  <si>
    <t>numerales 1), 2), 3). Se entenderá que existe reiteración ante la ocurrencia de 2 situaciones</t>
  </si>
  <si>
    <t>de incumplimiento.</t>
  </si>
  <si>
    <t>  </t>
  </si>
  <si>
    <t>PROCEDIMIENTO DE APLICACIÓN DE MULTAS Y TÉRMINO ANTICIPADO.</t>
  </si>
  <si>
    <t>Corresponde al Requirente informar a la Unidad de Compras la detección de los incumplimientos</t>
  </si>
  <si>
    <t>que pudiesen dar lugar a la aplicación de multas y/o al término anticipado de la contratación, la</t>
  </si>
  <si>
    <t>cual comunicará a la brevedad al proveedor por vía correo electrónico, quien tendrá un plazo de 5</t>
  </si>
  <si>
    <t>días hábiles para efectuar sus descargos.</t>
  </si>
  <si>
    <t>En dichos descargos el proveedor podrá hacer valer todos los derechos que la Ley N° 21.634 le</t>
  </si>
  <si>
    <t>reconoce en su calidad de interesado en un procedimiento administrativo, pudiendo, a modo de</t>
  </si>
  <si>
    <t>ejemplo, proponer las actuaciones o diligencias que estime necesarias, así como solicitar o</t>
  </si>
  <si>
    <t>acompañar los medios de prueba que estime convenientes.</t>
  </si>
  <si>
    <t>Habiendo expirado el plazo para recibir los descargos o bien no se hayan remitido, se procederá a</t>
  </si>
  <si>
    <t>emitir la aplicación de una multa y/o el término anticipado del contrato, lo que concretará mediante</t>
  </si>
  <si>
    <t>resolución fundada o bien lo que estime la autoridad, la que será publicada en el Sistema de</t>
  </si>
  <si>
    <t>Información de Compras y Contratación Pública (en el ID de la orden de compra y a través de la</t>
  </si>
  <si>
    <t>funcionalidad ;Historial cumplimiento contractual del proveedor).</t>
  </si>
  <si>
    <t>Las multas que fueren procedentes se cursarán administrativamente, sin forma de juicio, y se</t>
  </si>
  <si>
    <t>deducirán del pago total, de las cuotas o mensualidades del precio. Así mismo se podrá otorgar un</t>
  </si>
  <si>
    <t>plazo prudencial al proveedor para que consigne el valor de la multa en la cuenta corriente de la Corporación Municipal de Melipilla.</t>
  </si>
  <si>
    <t>IDENTIFICACION DEL OFERENTE</t>
  </si>
  <si>
    <t>Razón social :</t>
  </si>
  <si>
    <t>RUT :</t>
  </si>
  <si>
    <t>Dirección :</t>
  </si>
  <si>
    <t>Teléfono :</t>
  </si>
  <si>
    <t>Firma(s) representante(s) del Proponente</t>
  </si>
  <si>
    <t>3. Haber adjuntado cotización formal con las especificaciones de lo ofertado, incluyendo valores, cargos o descuentos, contacto, plazo de entrega y vigencia de cotización.</t>
  </si>
  <si>
    <t xml:space="preserve">Para contacto comunicarse con Contacto: Edgardo Maulén fono: +56 972165246
, correo electrónico: adquisiciones@cormumel.cl
</t>
  </si>
  <si>
    <t>5. Si persistiere la igualdad, se generará un nuevo proceso.</t>
  </si>
  <si>
    <t>presenten los insumo/servicios requeridos o similares, y no se considerarán insumo/servicios que no cumplan con</t>
  </si>
  <si>
    <t>En caso de presentar insumo/servicios con plazo de vencimiento menor a 12 meses, la oferta será</t>
  </si>
  <si>
    <t xml:space="preserve">  - La facturación deberá ser por el total de los insumo/servicios.</t>
  </si>
  <si>
    <t>1.         Si se atrasa en 1 días hábiles la entrega total de los insumo/servicios, según plazo de entrega ofertado.</t>
  </si>
  <si>
    <t>2.         Si realiza 2 o más entregas parciales de los insumo/servicios contratados, si estas no fueron solicitadas.</t>
  </si>
  <si>
    <t>Correo Electrónico:</t>
  </si>
  <si>
    <r>
      <t xml:space="preserve">Plazo para aceptar la orden de compra es de </t>
    </r>
    <r>
      <rPr>
        <b/>
        <sz val="9"/>
        <rFont val="Calibri"/>
        <family val="2"/>
        <scheme val="minor"/>
      </rPr>
      <t>48 horas</t>
    </r>
    <r>
      <rPr>
        <sz val="9"/>
        <rFont val="Calibri"/>
        <family val="2"/>
        <scheme val="minor"/>
      </rPr>
      <t>.</t>
    </r>
  </si>
  <si>
    <t>la orden de compra.</t>
  </si>
  <si>
    <t>SALDO</t>
  </si>
  <si>
    <t>PRECIO UNITARIO NETO</t>
  </si>
  <si>
    <t>PRESUPUESTO IVA INCLUIDO</t>
  </si>
  <si>
    <t>4. Haber adjuntado anexo económico, con valores y  firma.</t>
  </si>
  <si>
    <t>COMPRA DE  LUMINARIAS LED PARA COLEGIO JAIME LARRAIN</t>
  </si>
  <si>
    <t>Condición</t>
  </si>
  <si>
    <t>Potencia: 600W</t>
  </si>
  <si>
    <t>Tensión nominal: 220V</t>
  </si>
  <si>
    <t>Flujo luminoso: Mínimo 54.000 lúmenes</t>
  </si>
  <si>
    <t>Temperatura de color: 6000K - Blanco frío</t>
  </si>
  <si>
    <t>Ángulo de apertura: 120°</t>
  </si>
  <si>
    <t>Vida útil: Mínimo 25.000 horas</t>
  </si>
  <si>
    <t>Protección: IP66 para uso exterior</t>
  </si>
  <si>
    <t>Frecuencia: 50-60 Hz</t>
  </si>
  <si>
    <t>Indice CRI: Entre 80 y 85</t>
  </si>
  <si>
    <t>Tipo de LED: SMD2835</t>
  </si>
  <si>
    <t>Driver: Interno</t>
  </si>
  <si>
    <t>Orientable: Si</t>
  </si>
  <si>
    <t>Material: Aluminio</t>
  </si>
  <si>
    <t>Material difusor: Vidrio templado</t>
  </si>
  <si>
    <t>Certificaciones: SEC, CE y ROHS</t>
  </si>
  <si>
    <t>Garantía mínima: 1 año</t>
  </si>
  <si>
    <t>Medidas aproximadas: 400 x 380 x 30 mm</t>
  </si>
  <si>
    <t>FOCO PROYECTOR DE AREA LED 600W- PRODUCTO NUEVO-SIN USO CON LAS SIGUIENTES CARACTERISTICAS:</t>
  </si>
  <si>
    <t>TELEFONO 9 9993 3531 , CORREO ELECTRONICO  COLEGIO.JLARRAIN@CORMUMEL.CL,</t>
  </si>
  <si>
    <t>ENTREGA DEBE SER EN PASAJE ELEUTERIO RAMÍREZ N°0387, POBLACIÓN MANUEL RODRIGUEZ,MELIPILLA</t>
  </si>
  <si>
    <r>
      <t>El plazo de entrega de los insumo/servicios  no podrá ser mayor  a</t>
    </r>
    <r>
      <rPr>
        <b/>
        <sz val="9"/>
        <rFont val="Calibri"/>
        <family val="2"/>
        <scheme val="minor"/>
      </rPr>
      <t xml:space="preserve"> 3 días habiles </t>
    </r>
    <r>
      <rPr>
        <sz val="9"/>
        <rFont val="Calibri"/>
        <family val="2"/>
        <scheme val="minor"/>
      </rPr>
      <t xml:space="preserve">despues de aceptada </t>
    </r>
  </si>
  <si>
    <t xml:space="preserve">CONTRAPARTE TECNICA: CARLOS MEZA ,  DIRECTOR , O QUIEN SUBROGUE, DESIGNE O REEMPLACE,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</si>
</sst>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$-340A]\ #,##0"/>
    <numFmt numFmtId="170" formatCode="_-&quot;$&quot;* #,##0_-;\-&quot;$&quot;* #,##0_-;_-&quot;$&quot;* &quot;-&quot;??_-;_-@_-"/>
  </numFmts>
  <fonts count="10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5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/>
    <xf numFmtId="0" fontId="3" fillId="0" borderId="0" xfId="0" applyFont="1"/>
    <xf numFmtId="0" fontId="3" fillId="3" borderId="0" xfId="0" applyFont="1" applyFill="1"/>
    <xf numFmtId="0" fontId="0" fillId="0" borderId="0" xfId="0"/>
    <xf numFmtId="0" fontId="2" fillId="2" borderId="1" xfId="0" applyFont="1" applyFill="1" applyBorder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6" fillId="0" borderId="1" xfId="0" applyFont="1" applyBorder="1"/>
    <xf numFmtId="0" fontId="9" fillId="4" borderId="1" xfId="0" applyFont="1" applyFill="1" applyBorder="1" applyAlignment="1">
      <alignment horizontal="center" vertical="center" wrapText="1"/>
    </xf>
    <xf numFmtId="44" fontId="1" fillId="0" borderId="1" xfId="1" applyFont="1" applyBorder="1" applyAlignment="1">
      <alignment horizontal="left" vertical="top"/>
    </xf>
    <xf numFmtId="0" fontId="4" fillId="3" borderId="0" xfId="0" applyFont="1" applyFill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170" fontId="1" fillId="0" borderId="1" xfId="1" applyNumberFormat="1" applyFont="1" applyBorder="1" applyAlignment="1">
      <alignment horizontal="left" vertical="top"/>
    </xf>
    <xf numFmtId="170" fontId="2" fillId="2" borderId="1" xfId="1" applyNumberFormat="1" applyFont="1" applyFill="1" applyBorder="1"/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170" fontId="2" fillId="3" borderId="1" xfId="1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showGridLines="0" tabSelected="1" zoomScale="115" zoomScaleNormal="115" workbookViewId="0">
      <selection activeCell="F23" sqref="F23"/>
    </sheetView>
  </sheetViews>
  <sheetFormatPr baseColWidth="10" defaultColWidth="9.33203125" defaultRowHeight="15" x14ac:dyDescent="0.2"/>
  <cols>
    <col min="1" max="1" width="11.33203125" style="1" customWidth="1"/>
    <col min="2" max="2" width="6.5" style="2" customWidth="1"/>
    <col min="3" max="3" width="48.6640625" style="1" customWidth="1"/>
    <col min="4" max="4" width="18" style="1" customWidth="1"/>
    <col min="5" max="5" width="9.33203125" style="21"/>
    <col min="6" max="6" width="10.83203125" style="1" customWidth="1"/>
    <col min="7" max="7" width="13.1640625" style="1" customWidth="1"/>
    <col min="8" max="8" width="14.83203125" style="1" bestFit="1" customWidth="1"/>
    <col min="9" max="10" width="9.33203125" style="1"/>
    <col min="11" max="11" width="17.5" style="1" customWidth="1"/>
    <col min="12" max="16384" width="9.33203125" style="1"/>
  </cols>
  <sheetData>
    <row r="1" spans="1:9" ht="16.5" customHeight="1" x14ac:dyDescent="0.25">
      <c r="A1" s="40" t="s">
        <v>77</v>
      </c>
      <c r="B1" s="40"/>
      <c r="C1" s="40"/>
      <c r="D1" s="40"/>
      <c r="E1" s="40"/>
      <c r="F1" s="40"/>
      <c r="G1" s="40"/>
      <c r="I1" s="24"/>
    </row>
    <row r="2" spans="1:9" ht="36" x14ac:dyDescent="0.2">
      <c r="A2" s="32" t="s">
        <v>2</v>
      </c>
      <c r="B2" s="32" t="s">
        <v>8</v>
      </c>
      <c r="C2" s="33" t="s">
        <v>1</v>
      </c>
      <c r="D2" s="33" t="s">
        <v>0</v>
      </c>
      <c r="E2" s="32" t="s">
        <v>74</v>
      </c>
      <c r="F2" s="32" t="s">
        <v>3</v>
      </c>
      <c r="G2" s="38" t="s">
        <v>75</v>
      </c>
      <c r="H2" s="35" t="s">
        <v>73</v>
      </c>
    </row>
    <row r="3" spans="1:9" ht="28.5" customHeight="1" x14ac:dyDescent="0.2">
      <c r="A3" s="19">
        <v>1</v>
      </c>
      <c r="B3" s="19"/>
      <c r="C3" s="48" t="s">
        <v>96</v>
      </c>
      <c r="D3" s="25">
        <v>8</v>
      </c>
      <c r="E3" s="49"/>
      <c r="F3" s="49">
        <f>+D3*E3</f>
        <v>0</v>
      </c>
      <c r="G3" s="44">
        <v>560000</v>
      </c>
      <c r="H3" s="44">
        <f>+G3-(F3*1.19)</f>
        <v>560000</v>
      </c>
    </row>
    <row r="4" spans="1:9" ht="15" customHeight="1" x14ac:dyDescent="0.2">
      <c r="A4" s="19">
        <v>2</v>
      </c>
      <c r="B4" s="19"/>
      <c r="C4" s="46" t="s">
        <v>79</v>
      </c>
      <c r="D4" s="43"/>
      <c r="E4" s="19"/>
      <c r="F4" s="19"/>
      <c r="G4" s="44"/>
      <c r="H4" s="44"/>
    </row>
    <row r="5" spans="1:9" ht="15" customHeight="1" x14ac:dyDescent="0.2">
      <c r="A5" s="19">
        <v>3</v>
      </c>
      <c r="B5" s="19"/>
      <c r="C5" s="46" t="s">
        <v>80</v>
      </c>
      <c r="D5" s="43"/>
      <c r="E5" s="19"/>
      <c r="F5" s="19"/>
      <c r="G5" s="39"/>
      <c r="H5" s="39"/>
    </row>
    <row r="6" spans="1:9" x14ac:dyDescent="0.2">
      <c r="A6" s="19">
        <v>4</v>
      </c>
      <c r="B6" s="19"/>
      <c r="C6" s="46" t="s">
        <v>81</v>
      </c>
      <c r="D6" s="43"/>
      <c r="E6" s="19"/>
      <c r="F6" s="19"/>
      <c r="G6" s="39"/>
      <c r="H6" s="39"/>
    </row>
    <row r="7" spans="1:9" x14ac:dyDescent="0.2">
      <c r="A7" s="19">
        <v>5</v>
      </c>
      <c r="B7" s="19"/>
      <c r="C7" s="46" t="s">
        <v>82</v>
      </c>
      <c r="D7" s="43"/>
      <c r="E7" s="19"/>
      <c r="F7" s="19"/>
      <c r="G7" s="39"/>
      <c r="H7" s="39"/>
    </row>
    <row r="8" spans="1:9" x14ac:dyDescent="0.2">
      <c r="A8" s="19">
        <v>6</v>
      </c>
      <c r="B8" s="19"/>
      <c r="C8" s="46" t="s">
        <v>83</v>
      </c>
      <c r="D8" s="43"/>
      <c r="E8" s="19"/>
      <c r="F8" s="19"/>
      <c r="G8" s="39"/>
      <c r="H8" s="39"/>
    </row>
    <row r="9" spans="1:9" x14ac:dyDescent="0.2">
      <c r="A9" s="19">
        <v>7</v>
      </c>
      <c r="B9" s="19"/>
      <c r="C9" s="46" t="s">
        <v>84</v>
      </c>
      <c r="D9" s="43"/>
      <c r="E9" s="19"/>
      <c r="F9" s="19"/>
      <c r="G9" s="39"/>
      <c r="H9" s="39"/>
    </row>
    <row r="10" spans="1:9" x14ac:dyDescent="0.2">
      <c r="A10" s="19">
        <v>8</v>
      </c>
      <c r="B10" s="19"/>
      <c r="C10" s="46" t="s">
        <v>85</v>
      </c>
      <c r="D10" s="43"/>
      <c r="E10" s="19"/>
      <c r="F10" s="19"/>
      <c r="G10" s="39"/>
      <c r="H10" s="39"/>
    </row>
    <row r="11" spans="1:9" x14ac:dyDescent="0.2">
      <c r="A11" s="19">
        <v>9</v>
      </c>
      <c r="B11" s="19"/>
      <c r="C11" s="46" t="s">
        <v>86</v>
      </c>
      <c r="D11" s="43"/>
      <c r="E11" s="19"/>
      <c r="F11" s="19"/>
      <c r="G11" s="39"/>
      <c r="H11" s="39"/>
    </row>
    <row r="12" spans="1:9" x14ac:dyDescent="0.2">
      <c r="A12" s="19">
        <v>10</v>
      </c>
      <c r="B12" s="19"/>
      <c r="C12" s="46" t="s">
        <v>87</v>
      </c>
      <c r="D12" s="43"/>
      <c r="E12" s="19"/>
      <c r="F12" s="19"/>
      <c r="G12" s="39"/>
      <c r="H12" s="39"/>
    </row>
    <row r="13" spans="1:9" x14ac:dyDescent="0.2">
      <c r="A13" s="19">
        <v>11</v>
      </c>
      <c r="B13" s="19"/>
      <c r="C13" s="46" t="s">
        <v>88</v>
      </c>
      <c r="D13" s="43"/>
      <c r="E13" s="19"/>
      <c r="F13" s="19"/>
      <c r="G13" s="39"/>
      <c r="H13" s="39"/>
    </row>
    <row r="14" spans="1:9" x14ac:dyDescent="0.2">
      <c r="A14" s="19">
        <v>12</v>
      </c>
      <c r="B14" s="19"/>
      <c r="C14" s="46" t="s">
        <v>89</v>
      </c>
      <c r="D14" s="43"/>
      <c r="E14" s="19"/>
      <c r="F14" s="19"/>
      <c r="G14" s="39"/>
      <c r="H14" s="39"/>
    </row>
    <row r="15" spans="1:9" x14ac:dyDescent="0.2">
      <c r="A15" s="19">
        <v>13</v>
      </c>
      <c r="B15" s="19"/>
      <c r="C15" s="46" t="s">
        <v>90</v>
      </c>
      <c r="D15" s="43"/>
      <c r="E15" s="19"/>
      <c r="F15" s="19"/>
      <c r="G15" s="39"/>
      <c r="H15" s="39"/>
    </row>
    <row r="16" spans="1:9" x14ac:dyDescent="0.2">
      <c r="A16" s="19">
        <v>14</v>
      </c>
      <c r="B16" s="19"/>
      <c r="C16" s="46" t="s">
        <v>91</v>
      </c>
      <c r="D16" s="43"/>
      <c r="E16" s="19"/>
      <c r="F16" s="19"/>
      <c r="G16" s="39"/>
      <c r="H16" s="39"/>
    </row>
    <row r="17" spans="1:9" x14ac:dyDescent="0.2">
      <c r="A17" s="19">
        <v>15</v>
      </c>
      <c r="B17" s="19"/>
      <c r="C17" s="46" t="s">
        <v>92</v>
      </c>
      <c r="D17" s="43"/>
      <c r="E17" s="19"/>
      <c r="F17" s="19"/>
      <c r="G17" s="39"/>
      <c r="H17" s="39"/>
    </row>
    <row r="18" spans="1:9" x14ac:dyDescent="0.2">
      <c r="A18" s="19">
        <v>16</v>
      </c>
      <c r="B18" s="19"/>
      <c r="C18" s="46" t="s">
        <v>93</v>
      </c>
      <c r="D18" s="43"/>
      <c r="E18" s="19"/>
      <c r="F18" s="19"/>
      <c r="G18" s="39"/>
      <c r="H18" s="39"/>
    </row>
    <row r="19" spans="1:9" x14ac:dyDescent="0.2">
      <c r="A19" s="19">
        <v>17</v>
      </c>
      <c r="B19" s="19"/>
      <c r="C19" s="46" t="s">
        <v>94</v>
      </c>
      <c r="D19" s="43"/>
      <c r="E19" s="19"/>
      <c r="F19" s="19"/>
      <c r="G19" s="39"/>
      <c r="H19" s="39"/>
    </row>
    <row r="20" spans="1:9" x14ac:dyDescent="0.2">
      <c r="A20" s="19">
        <v>18</v>
      </c>
      <c r="B20" s="19"/>
      <c r="C20" s="47" t="s">
        <v>95</v>
      </c>
      <c r="D20" s="43"/>
      <c r="E20" s="19"/>
      <c r="F20" s="19"/>
      <c r="G20" s="39"/>
      <c r="H20" s="39"/>
    </row>
    <row r="21" spans="1:9" x14ac:dyDescent="0.2">
      <c r="A21" s="7"/>
      <c r="B21" s="7"/>
      <c r="C21" s="7" t="s">
        <v>78</v>
      </c>
      <c r="D21" s="34"/>
      <c r="E21" s="3"/>
      <c r="F21" s="3">
        <f>+F3</f>
        <v>0</v>
      </c>
      <c r="G21" s="45">
        <f>SUM(G3:G20)</f>
        <v>560000</v>
      </c>
      <c r="H21" s="39"/>
    </row>
    <row r="22" spans="1:9" x14ac:dyDescent="0.2">
      <c r="A22" s="7"/>
      <c r="B22" s="7"/>
      <c r="C22" s="7" t="s">
        <v>4</v>
      </c>
      <c r="D22" s="34"/>
      <c r="E22" s="3"/>
      <c r="F22" s="3">
        <f>+F21*0.19</f>
        <v>0</v>
      </c>
      <c r="G22" s="37"/>
      <c r="H22" s="36"/>
    </row>
    <row r="23" spans="1:9" x14ac:dyDescent="0.2">
      <c r="A23" s="7"/>
      <c r="B23" s="7"/>
      <c r="C23" s="7" t="s">
        <v>5</v>
      </c>
      <c r="D23" s="34"/>
      <c r="E23" s="3"/>
      <c r="F23" s="3">
        <f>F21+F22</f>
        <v>0</v>
      </c>
      <c r="G23" s="37"/>
      <c r="H23" s="36"/>
    </row>
    <row r="24" spans="1:9" x14ac:dyDescent="0.2">
      <c r="A24" s="26"/>
      <c r="B24" s="26"/>
      <c r="C24" s="26"/>
      <c r="D24" s="27"/>
      <c r="E24" s="28"/>
      <c r="F24" s="28"/>
      <c r="G24" s="11"/>
    </row>
    <row r="25" spans="1:9" x14ac:dyDescent="0.2">
      <c r="A25" s="29" t="s">
        <v>100</v>
      </c>
      <c r="B25" s="29"/>
      <c r="C25" s="29"/>
      <c r="D25" s="29"/>
      <c r="E25" s="30"/>
      <c r="F25" s="31"/>
      <c r="G25" s="11"/>
      <c r="H25" s="11"/>
    </row>
    <row r="26" spans="1:9" x14ac:dyDescent="0.2">
      <c r="A26" s="29" t="s">
        <v>97</v>
      </c>
      <c r="B26" s="29"/>
      <c r="C26" s="29"/>
      <c r="D26" s="29"/>
      <c r="E26" s="30"/>
      <c r="F26" s="31"/>
      <c r="G26" s="31"/>
      <c r="H26" s="11"/>
      <c r="I26" s="11"/>
    </row>
    <row r="27" spans="1:9" x14ac:dyDescent="0.2">
      <c r="A27" s="29" t="s">
        <v>98</v>
      </c>
      <c r="B27" s="29"/>
      <c r="C27" s="29"/>
      <c r="D27" s="29"/>
      <c r="E27" s="30"/>
      <c r="F27" s="31"/>
      <c r="G27" s="31"/>
      <c r="H27" s="11"/>
      <c r="I27" s="11"/>
    </row>
    <row r="28" spans="1:9" x14ac:dyDescent="0.2">
      <c r="A28" s="29"/>
      <c r="B28" s="29"/>
      <c r="C28" s="29"/>
      <c r="D28" s="29"/>
      <c r="E28" s="30"/>
      <c r="F28" s="31"/>
      <c r="G28" s="31"/>
      <c r="H28" s="11"/>
      <c r="I28" s="11"/>
    </row>
    <row r="29" spans="1:9" x14ac:dyDescent="0.2">
      <c r="A29" s="8" t="s">
        <v>9</v>
      </c>
      <c r="B29" s="5"/>
      <c r="C29" s="9"/>
      <c r="D29" s="9"/>
      <c r="E29" s="10"/>
      <c r="F29" s="4"/>
      <c r="G29" s="4"/>
      <c r="H29" s="11"/>
      <c r="I29" s="11"/>
    </row>
    <row r="30" spans="1:9" x14ac:dyDescent="0.2">
      <c r="A30" s="8" t="s">
        <v>65</v>
      </c>
      <c r="B30" s="5"/>
      <c r="C30" s="9"/>
      <c r="D30" s="9"/>
      <c r="E30" s="10"/>
      <c r="F30" s="4"/>
      <c r="G30" s="4"/>
      <c r="H30" s="11"/>
      <c r="I30" s="11"/>
    </row>
    <row r="31" spans="1:9" x14ac:dyDescent="0.2">
      <c r="A31" s="8" t="s">
        <v>10</v>
      </c>
      <c r="B31" s="5"/>
      <c r="C31" s="9"/>
      <c r="D31" s="9"/>
      <c r="E31" s="10"/>
      <c r="F31" s="4"/>
      <c r="G31" s="4"/>
      <c r="H31" s="11"/>
      <c r="I31" s="11"/>
    </row>
    <row r="32" spans="1:9" x14ac:dyDescent="0.2">
      <c r="A32" s="8" t="s">
        <v>71</v>
      </c>
      <c r="B32" s="5"/>
      <c r="C32" s="9"/>
      <c r="D32" s="9"/>
      <c r="E32" s="10"/>
      <c r="F32" s="4"/>
      <c r="G32" s="4"/>
      <c r="H32" s="11"/>
      <c r="I32" s="11"/>
    </row>
    <row r="33" spans="1:9" x14ac:dyDescent="0.2">
      <c r="A33" s="8" t="str">
        <f>+CONCATENATE("El presupuesto disponible Total será de: $",TEXT(G21, "#,###,###"),"  IVA incluido.-")</f>
        <v>El presupuesto disponible Total será de: $560,000  IVA incluido.-</v>
      </c>
      <c r="B33" s="5"/>
      <c r="C33" s="9"/>
      <c r="D33" s="9"/>
      <c r="E33" s="10"/>
      <c r="F33" s="4"/>
      <c r="G33" s="4"/>
      <c r="H33" s="11"/>
      <c r="I33" s="11"/>
    </row>
    <row r="34" spans="1:9" x14ac:dyDescent="0.2">
      <c r="A34" s="8" t="s">
        <v>11</v>
      </c>
      <c r="B34" s="5"/>
      <c r="C34" s="9"/>
      <c r="D34" s="9"/>
      <c r="E34" s="10"/>
      <c r="F34" s="4"/>
      <c r="G34" s="4"/>
      <c r="H34" s="11"/>
      <c r="I34" s="11"/>
    </row>
    <row r="35" spans="1:9" x14ac:dyDescent="0.2">
      <c r="A35" s="8" t="s">
        <v>12</v>
      </c>
      <c r="B35" s="5"/>
      <c r="C35" s="9"/>
      <c r="D35" s="9"/>
      <c r="E35" s="10"/>
      <c r="F35" s="4"/>
      <c r="G35" s="4"/>
      <c r="H35" s="11"/>
      <c r="I35" s="11"/>
    </row>
    <row r="36" spans="1:9" x14ac:dyDescent="0.2">
      <c r="A36" s="8" t="s">
        <v>99</v>
      </c>
      <c r="B36" s="5"/>
      <c r="C36" s="9"/>
      <c r="D36" s="9"/>
      <c r="E36" s="10"/>
      <c r="F36" s="4"/>
      <c r="G36" s="4"/>
      <c r="H36" s="11"/>
      <c r="I36" s="11"/>
    </row>
    <row r="37" spans="1:9" x14ac:dyDescent="0.2">
      <c r="A37" s="8" t="s">
        <v>72</v>
      </c>
      <c r="B37" s="5"/>
      <c r="C37" s="9"/>
      <c r="D37" s="9"/>
      <c r="E37" s="10"/>
      <c r="F37" s="4"/>
      <c r="G37" s="4"/>
      <c r="H37" s="11"/>
      <c r="I37" s="11"/>
    </row>
    <row r="38" spans="1:9" x14ac:dyDescent="0.2">
      <c r="A38" s="8"/>
      <c r="B38" s="5"/>
      <c r="C38" s="9"/>
      <c r="D38" s="9"/>
      <c r="E38" s="10"/>
      <c r="F38" s="4"/>
      <c r="G38" s="4"/>
      <c r="H38" s="11"/>
      <c r="I38" s="11"/>
    </row>
    <row r="39" spans="1:9" x14ac:dyDescent="0.2">
      <c r="A39" s="8" t="s">
        <v>66</v>
      </c>
      <c r="B39" s="5"/>
      <c r="C39" s="9"/>
      <c r="D39" s="9"/>
      <c r="E39" s="10"/>
      <c r="F39" s="4"/>
      <c r="G39" s="4"/>
      <c r="H39" s="11"/>
      <c r="I39" s="11"/>
    </row>
    <row r="40" spans="1:9" x14ac:dyDescent="0.2">
      <c r="A40" s="8" t="s">
        <v>13</v>
      </c>
      <c r="B40" s="5"/>
      <c r="C40" s="11"/>
      <c r="D40" s="11"/>
      <c r="E40" s="12"/>
      <c r="F40" s="11"/>
      <c r="G40" s="11"/>
      <c r="H40" s="11"/>
      <c r="I40" s="11"/>
    </row>
    <row r="41" spans="1:9" ht="22.5" customHeight="1" x14ac:dyDescent="0.2">
      <c r="A41" s="13" t="s">
        <v>14</v>
      </c>
      <c r="B41" s="10"/>
      <c r="C41" s="9"/>
      <c r="D41" s="9"/>
      <c r="E41" s="10"/>
      <c r="F41" s="9"/>
      <c r="G41" s="9"/>
      <c r="H41" s="11"/>
      <c r="I41" s="11"/>
    </row>
    <row r="42" spans="1:9" ht="15" customHeight="1" x14ac:dyDescent="0.2">
      <c r="A42" s="14" t="s">
        <v>15</v>
      </c>
      <c r="B42" s="10"/>
      <c r="C42" s="9"/>
      <c r="D42" s="9"/>
      <c r="E42" s="10"/>
      <c r="F42" s="9"/>
      <c r="G42" s="9"/>
      <c r="H42" s="11"/>
      <c r="I42" s="11"/>
    </row>
    <row r="43" spans="1:9" x14ac:dyDescent="0.2">
      <c r="A43" s="14" t="s">
        <v>16</v>
      </c>
      <c r="B43" s="10"/>
      <c r="C43" s="9"/>
      <c r="D43" s="9"/>
      <c r="E43" s="10"/>
      <c r="F43" s="9"/>
      <c r="G43" s="9"/>
      <c r="H43" s="11"/>
      <c r="I43" s="11"/>
    </row>
    <row r="44" spans="1:9" x14ac:dyDescent="0.2">
      <c r="A44" s="14" t="s">
        <v>17</v>
      </c>
      <c r="B44" s="10"/>
      <c r="C44" s="9"/>
      <c r="D44" s="9"/>
      <c r="E44" s="10"/>
      <c r="F44" s="9"/>
      <c r="G44" s="9"/>
      <c r="H44" s="11"/>
      <c r="I44" s="11"/>
    </row>
    <row r="45" spans="1:9" x14ac:dyDescent="0.2">
      <c r="A45" s="14" t="s">
        <v>18</v>
      </c>
      <c r="B45" s="10"/>
      <c r="C45" s="9"/>
      <c r="D45" s="9"/>
      <c r="E45" s="10"/>
      <c r="F45" s="9"/>
      <c r="G45" s="9"/>
      <c r="H45" s="11"/>
      <c r="I45" s="11"/>
    </row>
    <row r="46" spans="1:9" ht="24" customHeight="1" x14ac:dyDescent="0.2">
      <c r="A46" s="41" t="s">
        <v>62</v>
      </c>
      <c r="B46" s="41"/>
      <c r="C46" s="41"/>
      <c r="D46" s="41"/>
      <c r="E46" s="41"/>
      <c r="F46" s="20"/>
      <c r="G46" s="20"/>
      <c r="H46" s="11"/>
      <c r="I46" s="11"/>
    </row>
    <row r="47" spans="1:9" ht="28.5" customHeight="1" x14ac:dyDescent="0.2">
      <c r="A47" s="41" t="s">
        <v>76</v>
      </c>
      <c r="B47" s="41"/>
      <c r="C47" s="41"/>
      <c r="D47" s="41"/>
      <c r="E47" s="41"/>
      <c r="F47" s="20"/>
      <c r="G47" s="20"/>
      <c r="H47" s="11"/>
      <c r="I47" s="11"/>
    </row>
    <row r="48" spans="1:9" x14ac:dyDescent="0.2">
      <c r="A48" s="14" t="s">
        <v>64</v>
      </c>
      <c r="B48" s="10"/>
      <c r="C48" s="9"/>
      <c r="D48" s="9"/>
      <c r="E48" s="10"/>
      <c r="F48" s="9"/>
      <c r="G48" s="9"/>
      <c r="H48" s="11"/>
      <c r="I48" s="11"/>
    </row>
    <row r="49" spans="1:9" x14ac:dyDescent="0.2">
      <c r="A49" s="14" t="s">
        <v>19</v>
      </c>
      <c r="B49" s="10"/>
      <c r="C49" s="9"/>
      <c r="D49" s="9"/>
      <c r="E49" s="10"/>
      <c r="F49" s="9"/>
      <c r="G49" s="9"/>
      <c r="H49" s="11"/>
      <c r="I49" s="11"/>
    </row>
    <row r="50" spans="1:9" x14ac:dyDescent="0.2">
      <c r="A50" s="14" t="s">
        <v>67</v>
      </c>
      <c r="B50" s="10"/>
      <c r="C50" s="9"/>
      <c r="D50" s="9"/>
      <c r="E50" s="10"/>
      <c r="F50" s="9"/>
      <c r="G50" s="9"/>
      <c r="H50" s="11"/>
      <c r="I50" s="11"/>
    </row>
    <row r="51" spans="1:9" ht="30.75" customHeight="1" x14ac:dyDescent="0.2">
      <c r="A51" s="14" t="s">
        <v>20</v>
      </c>
      <c r="B51" s="10"/>
      <c r="C51" s="9"/>
      <c r="D51" s="9"/>
      <c r="E51" s="10"/>
      <c r="F51" s="9"/>
      <c r="G51" s="9"/>
      <c r="H51" s="11"/>
      <c r="I51" s="11"/>
    </row>
    <row r="52" spans="1:9" x14ac:dyDescent="0.2">
      <c r="A52" s="15"/>
      <c r="B52" s="11"/>
      <c r="C52" s="11"/>
      <c r="D52" s="11"/>
      <c r="E52" s="12"/>
      <c r="F52" s="11"/>
      <c r="G52" s="11"/>
      <c r="H52" s="11"/>
      <c r="I52" s="11"/>
    </row>
    <row r="53" spans="1:9" x14ac:dyDescent="0.2">
      <c r="A53" s="15" t="s">
        <v>63</v>
      </c>
      <c r="B53" s="11"/>
      <c r="C53" s="11"/>
      <c r="D53" s="11"/>
      <c r="E53" s="12"/>
      <c r="F53" s="11"/>
      <c r="G53" s="11"/>
      <c r="H53" s="11"/>
      <c r="I53" s="11"/>
    </row>
    <row r="54" spans="1:9" x14ac:dyDescent="0.2">
      <c r="A54" s="15"/>
      <c r="B54" s="11"/>
      <c r="C54" s="11"/>
      <c r="D54" s="11"/>
      <c r="E54" s="12"/>
      <c r="F54" s="11"/>
      <c r="G54" s="11"/>
      <c r="H54" s="11"/>
      <c r="I54" s="11"/>
    </row>
    <row r="55" spans="1:9" x14ac:dyDescent="0.2">
      <c r="A55" s="15" t="s">
        <v>21</v>
      </c>
      <c r="B55" s="11"/>
      <c r="C55" s="11"/>
      <c r="D55" s="11"/>
      <c r="E55" s="12"/>
      <c r="F55" s="11"/>
      <c r="G55" s="11"/>
      <c r="H55" s="11"/>
      <c r="I55" s="11"/>
    </row>
    <row r="56" spans="1:9" ht="42.75" customHeight="1" x14ac:dyDescent="0.2">
      <c r="A56" s="42" t="s">
        <v>22</v>
      </c>
      <c r="B56" s="42"/>
      <c r="C56" s="42"/>
      <c r="D56" s="42"/>
      <c r="E56" s="42"/>
      <c r="F56" s="22"/>
      <c r="G56" s="22"/>
      <c r="H56" s="23"/>
      <c r="I56" s="23"/>
    </row>
    <row r="57" spans="1:9" ht="36.75" customHeight="1" x14ac:dyDescent="0.2">
      <c r="A57" s="15" t="s">
        <v>23</v>
      </c>
      <c r="B57" s="11"/>
      <c r="C57" s="11"/>
      <c r="D57" s="11"/>
      <c r="E57" s="12"/>
      <c r="F57" s="11"/>
      <c r="G57" s="11"/>
      <c r="H57" s="11"/>
      <c r="I57" s="11"/>
    </row>
    <row r="58" spans="1:9" x14ac:dyDescent="0.2">
      <c r="A58" s="16" t="s">
        <v>24</v>
      </c>
      <c r="B58" s="11"/>
      <c r="C58" s="11"/>
      <c r="D58" s="11"/>
      <c r="E58" s="12"/>
      <c r="F58" s="11"/>
      <c r="G58" s="11"/>
      <c r="H58" s="11"/>
      <c r="I58" s="11"/>
    </row>
    <row r="59" spans="1:9" x14ac:dyDescent="0.2">
      <c r="A59" s="15" t="s">
        <v>25</v>
      </c>
      <c r="B59" s="11"/>
      <c r="C59" s="11"/>
      <c r="D59" s="11"/>
      <c r="E59" s="12"/>
      <c r="F59" s="11"/>
      <c r="G59" s="11"/>
      <c r="H59" s="11"/>
      <c r="I59" s="11"/>
    </row>
    <row r="60" spans="1:9" x14ac:dyDescent="0.2">
      <c r="A60" s="16"/>
      <c r="B60" s="11"/>
      <c r="C60" s="11"/>
      <c r="D60" s="11"/>
      <c r="E60" s="12"/>
      <c r="F60" s="11"/>
      <c r="G60" s="11"/>
      <c r="H60" s="11"/>
      <c r="I60" s="11"/>
    </row>
    <row r="61" spans="1:9" x14ac:dyDescent="0.2">
      <c r="A61" s="15" t="s">
        <v>68</v>
      </c>
      <c r="B61" s="11"/>
      <c r="C61" s="11"/>
      <c r="D61" s="11"/>
      <c r="E61" s="12"/>
      <c r="F61" s="11"/>
      <c r="G61" s="11"/>
      <c r="H61" s="11"/>
      <c r="I61" s="11"/>
    </row>
    <row r="62" spans="1:9" x14ac:dyDescent="0.2">
      <c r="A62" s="16"/>
      <c r="B62" s="11"/>
      <c r="C62" s="11"/>
      <c r="D62" s="11"/>
      <c r="E62" s="12"/>
      <c r="F62" s="11"/>
      <c r="G62" s="11"/>
      <c r="H62" s="11"/>
      <c r="I62" s="11"/>
    </row>
    <row r="63" spans="1:9" x14ac:dyDescent="0.2">
      <c r="A63" s="15" t="s">
        <v>69</v>
      </c>
      <c r="B63" s="11"/>
      <c r="C63" s="11"/>
      <c r="D63" s="11"/>
      <c r="E63" s="12"/>
      <c r="F63" s="11"/>
      <c r="G63" s="11"/>
      <c r="H63" s="11"/>
      <c r="I63" s="11"/>
    </row>
    <row r="64" spans="1:9" x14ac:dyDescent="0.2">
      <c r="A64" s="16"/>
      <c r="B64" s="11"/>
      <c r="C64" s="11"/>
      <c r="D64" s="11"/>
      <c r="E64" s="12"/>
      <c r="F64" s="11"/>
      <c r="G64" s="11"/>
      <c r="H64" s="11"/>
      <c r="I64" s="11"/>
    </row>
    <row r="65" spans="1:9" x14ac:dyDescent="0.2">
      <c r="A65" s="15" t="s">
        <v>26</v>
      </c>
      <c r="B65" s="11"/>
      <c r="C65" s="11"/>
      <c r="D65" s="11"/>
      <c r="E65" s="12"/>
      <c r="F65" s="11"/>
      <c r="G65" s="11"/>
      <c r="H65" s="11"/>
      <c r="I65" s="11"/>
    </row>
    <row r="66" spans="1:9" x14ac:dyDescent="0.2">
      <c r="A66" s="15" t="s">
        <v>27</v>
      </c>
      <c r="B66" s="11"/>
      <c r="C66" s="11"/>
      <c r="D66" s="11"/>
      <c r="E66" s="12"/>
      <c r="F66" s="11"/>
      <c r="G66" s="11"/>
      <c r="H66" s="11"/>
      <c r="I66" s="11"/>
    </row>
    <row r="67" spans="1:9" x14ac:dyDescent="0.2">
      <c r="A67" s="16" t="s">
        <v>24</v>
      </c>
      <c r="B67" s="11"/>
      <c r="C67" s="11"/>
      <c r="D67" s="11"/>
      <c r="E67" s="12"/>
      <c r="F67" s="11"/>
      <c r="G67" s="11"/>
      <c r="H67" s="11"/>
      <c r="I67" s="11"/>
    </row>
    <row r="68" spans="1:9" x14ac:dyDescent="0.2">
      <c r="A68" s="15" t="s">
        <v>28</v>
      </c>
      <c r="B68" s="11"/>
      <c r="C68" s="11"/>
      <c r="D68" s="11"/>
      <c r="E68" s="12"/>
      <c r="F68" s="11"/>
      <c r="G68" s="11"/>
      <c r="H68" s="11"/>
      <c r="I68" s="11"/>
    </row>
    <row r="69" spans="1:9" x14ac:dyDescent="0.2">
      <c r="A69" s="15" t="s">
        <v>29</v>
      </c>
      <c r="B69" s="11"/>
      <c r="C69" s="11"/>
      <c r="D69" s="11"/>
      <c r="E69" s="12"/>
      <c r="F69" s="11"/>
      <c r="G69" s="11"/>
      <c r="H69" s="11"/>
      <c r="I69" s="11"/>
    </row>
    <row r="70" spans="1:9" x14ac:dyDescent="0.2">
      <c r="A70" s="15" t="s">
        <v>30</v>
      </c>
      <c r="B70" s="11"/>
      <c r="C70" s="11"/>
      <c r="D70" s="11"/>
      <c r="E70" s="12"/>
      <c r="F70" s="11"/>
      <c r="G70" s="11"/>
      <c r="H70" s="11"/>
      <c r="I70" s="11"/>
    </row>
    <row r="71" spans="1:9" x14ac:dyDescent="0.2">
      <c r="A71" s="15" t="s">
        <v>31</v>
      </c>
      <c r="B71" s="11"/>
      <c r="C71" s="11"/>
      <c r="D71" s="11"/>
      <c r="E71" s="12"/>
      <c r="F71" s="11"/>
      <c r="G71" s="11"/>
      <c r="H71" s="11"/>
      <c r="I71" s="11"/>
    </row>
    <row r="72" spans="1:9" x14ac:dyDescent="0.2">
      <c r="A72" s="15" t="s">
        <v>24</v>
      </c>
      <c r="B72" s="11"/>
      <c r="C72" s="11"/>
      <c r="D72" s="11"/>
      <c r="E72" s="12"/>
      <c r="F72" s="11"/>
      <c r="G72" s="11"/>
      <c r="H72" s="11"/>
      <c r="I72" s="11"/>
    </row>
    <row r="73" spans="1:9" x14ac:dyDescent="0.2">
      <c r="A73" s="15" t="s">
        <v>32</v>
      </c>
      <c r="B73" s="11"/>
      <c r="C73" s="11"/>
      <c r="D73" s="11"/>
      <c r="E73" s="12"/>
      <c r="F73" s="11"/>
      <c r="G73" s="11"/>
      <c r="H73" s="11"/>
      <c r="I73" s="11"/>
    </row>
    <row r="74" spans="1:9" x14ac:dyDescent="0.2">
      <c r="A74" s="15" t="s">
        <v>33</v>
      </c>
      <c r="B74" s="11"/>
      <c r="C74" s="11"/>
      <c r="D74" s="11"/>
      <c r="E74" s="12"/>
      <c r="F74" s="11"/>
      <c r="G74" s="11"/>
      <c r="H74" s="11"/>
      <c r="I74" s="11"/>
    </row>
    <row r="75" spans="1:9" x14ac:dyDescent="0.2">
      <c r="A75" s="15" t="s">
        <v>34</v>
      </c>
      <c r="B75" s="11"/>
      <c r="C75" s="11"/>
      <c r="D75" s="11"/>
      <c r="E75" s="12"/>
      <c r="F75" s="11"/>
      <c r="G75" s="11"/>
      <c r="H75" s="11"/>
      <c r="I75" s="11"/>
    </row>
    <row r="76" spans="1:9" x14ac:dyDescent="0.2">
      <c r="A76" s="15" t="s">
        <v>35</v>
      </c>
      <c r="B76" s="11"/>
      <c r="C76" s="11"/>
      <c r="D76" s="11"/>
      <c r="E76" s="12"/>
      <c r="F76" s="11"/>
      <c r="G76" s="11"/>
      <c r="H76" s="11"/>
      <c r="I76" s="11"/>
    </row>
    <row r="77" spans="1:9" x14ac:dyDescent="0.2">
      <c r="A77" s="15" t="s">
        <v>36</v>
      </c>
      <c r="B77" s="11"/>
      <c r="C77" s="11"/>
      <c r="D77" s="11"/>
      <c r="E77" s="12"/>
      <c r="F77" s="11"/>
      <c r="G77" s="11"/>
      <c r="H77" s="11"/>
      <c r="I77" s="11"/>
    </row>
    <row r="78" spans="1:9" x14ac:dyDescent="0.2">
      <c r="A78" s="15" t="s">
        <v>37</v>
      </c>
      <c r="B78" s="11"/>
      <c r="C78" s="11"/>
      <c r="D78" s="11"/>
      <c r="E78" s="12"/>
      <c r="F78" s="11"/>
      <c r="G78" s="11"/>
      <c r="H78" s="11"/>
      <c r="I78" s="11"/>
    </row>
    <row r="79" spans="1:9" x14ac:dyDescent="0.2">
      <c r="A79" s="15" t="s">
        <v>38</v>
      </c>
      <c r="B79" s="11"/>
      <c r="C79" s="11"/>
      <c r="D79" s="11"/>
      <c r="E79" s="12"/>
      <c r="F79" s="11"/>
      <c r="G79" s="11"/>
      <c r="H79" s="11"/>
      <c r="I79" s="11"/>
    </row>
    <row r="80" spans="1:9" x14ac:dyDescent="0.2">
      <c r="A80" s="15" t="s">
        <v>39</v>
      </c>
      <c r="B80" s="11"/>
      <c r="C80" s="11"/>
      <c r="D80" s="11"/>
      <c r="E80" s="12"/>
      <c r="F80" s="11"/>
      <c r="G80" s="11"/>
      <c r="H80" s="11"/>
      <c r="I80" s="11"/>
    </row>
    <row r="81" spans="1:9" x14ac:dyDescent="0.2">
      <c r="A81" s="15" t="s">
        <v>40</v>
      </c>
      <c r="B81" s="11"/>
      <c r="C81" s="11"/>
      <c r="D81" s="11"/>
      <c r="E81" s="12"/>
      <c r="F81" s="11"/>
      <c r="G81" s="11"/>
      <c r="H81" s="11"/>
      <c r="I81" s="11"/>
    </row>
    <row r="82" spans="1:9" x14ac:dyDescent="0.2">
      <c r="A82" s="15" t="s">
        <v>41</v>
      </c>
      <c r="B82" s="11"/>
      <c r="C82" s="11"/>
      <c r="D82" s="11"/>
      <c r="E82" s="12"/>
      <c r="F82" s="11"/>
      <c r="G82" s="11"/>
      <c r="H82" s="11"/>
      <c r="I82" s="11"/>
    </row>
    <row r="83" spans="1:9" x14ac:dyDescent="0.2">
      <c r="A83" s="15" t="s">
        <v>42</v>
      </c>
      <c r="B83" s="11"/>
      <c r="C83" s="11"/>
      <c r="D83" s="11"/>
      <c r="E83" s="12"/>
      <c r="F83" s="11"/>
      <c r="G83" s="11"/>
      <c r="H83" s="11"/>
      <c r="I83" s="11"/>
    </row>
    <row r="84" spans="1:9" x14ac:dyDescent="0.2">
      <c r="A84" s="15" t="s">
        <v>43</v>
      </c>
      <c r="B84" s="11"/>
      <c r="C84" s="11"/>
      <c r="D84" s="11"/>
      <c r="E84" s="12"/>
      <c r="F84" s="11"/>
      <c r="G84" s="11"/>
      <c r="H84" s="11"/>
      <c r="I84" s="11"/>
    </row>
    <row r="85" spans="1:9" x14ac:dyDescent="0.2">
      <c r="A85" s="15" t="s">
        <v>44</v>
      </c>
      <c r="B85" s="11"/>
      <c r="C85" s="11"/>
      <c r="D85" s="11"/>
      <c r="E85" s="12"/>
      <c r="F85" s="11"/>
      <c r="G85" s="11"/>
      <c r="H85" s="11"/>
      <c r="I85" s="11"/>
    </row>
    <row r="86" spans="1:9" x14ac:dyDescent="0.2">
      <c r="A86" s="15" t="s">
        <v>45</v>
      </c>
      <c r="B86" s="11"/>
      <c r="C86" s="11"/>
      <c r="D86" s="11"/>
      <c r="E86" s="12"/>
      <c r="F86" s="11"/>
      <c r="G86" s="11"/>
      <c r="H86" s="11"/>
      <c r="I86" s="11"/>
    </row>
    <row r="87" spans="1:9" x14ac:dyDescent="0.2">
      <c r="A87" s="15" t="s">
        <v>46</v>
      </c>
      <c r="B87" s="11"/>
      <c r="C87" s="11"/>
      <c r="D87" s="11"/>
      <c r="E87" s="12"/>
      <c r="F87" s="11"/>
      <c r="G87" s="11"/>
      <c r="H87" s="11"/>
      <c r="I87" s="11"/>
    </row>
    <row r="88" spans="1:9" x14ac:dyDescent="0.2">
      <c r="A88" s="15" t="s">
        <v>47</v>
      </c>
      <c r="B88" s="11"/>
      <c r="C88" s="11"/>
      <c r="D88" s="11"/>
      <c r="E88" s="12"/>
      <c r="F88" s="11"/>
      <c r="G88" s="11"/>
      <c r="H88" s="11"/>
      <c r="I88" s="11"/>
    </row>
    <row r="89" spans="1:9" x14ac:dyDescent="0.2">
      <c r="A89" s="15" t="s">
        <v>24</v>
      </c>
      <c r="B89" s="11"/>
      <c r="C89" s="11"/>
      <c r="D89" s="11"/>
      <c r="E89" s="12"/>
      <c r="F89" s="11"/>
      <c r="G89" s="11"/>
      <c r="H89" s="11"/>
      <c r="I89" s="11"/>
    </row>
    <row r="90" spans="1:9" x14ac:dyDescent="0.2">
      <c r="A90" s="15" t="s">
        <v>48</v>
      </c>
      <c r="B90" s="11"/>
      <c r="C90" s="11"/>
      <c r="D90" s="11"/>
      <c r="E90" s="12"/>
      <c r="F90" s="11"/>
      <c r="G90" s="11"/>
      <c r="H90" s="11"/>
      <c r="I90" s="11"/>
    </row>
    <row r="91" spans="1:9" x14ac:dyDescent="0.2">
      <c r="A91" s="15" t="s">
        <v>49</v>
      </c>
      <c r="B91" s="11"/>
      <c r="C91" s="11"/>
      <c r="D91" s="11"/>
      <c r="E91" s="12"/>
      <c r="F91" s="11"/>
      <c r="G91" s="11"/>
      <c r="H91" s="11"/>
      <c r="I91" s="11"/>
    </row>
    <row r="92" spans="1:9" x14ac:dyDescent="0.2">
      <c r="A92" s="15" t="s">
        <v>50</v>
      </c>
      <c r="B92" s="11"/>
      <c r="C92" s="11"/>
      <c r="D92" s="11"/>
      <c r="E92" s="12"/>
      <c r="F92" s="11"/>
      <c r="G92" s="11"/>
      <c r="H92" s="11"/>
      <c r="I92" s="11"/>
    </row>
    <row r="93" spans="1:9" x14ac:dyDescent="0.2">
      <c r="A93" s="15" t="s">
        <v>51</v>
      </c>
      <c r="B93" s="11"/>
      <c r="C93" s="11"/>
      <c r="D93" s="11"/>
      <c r="E93" s="12"/>
      <c r="F93" s="11"/>
      <c r="G93" s="11"/>
      <c r="H93" s="11"/>
      <c r="I93" s="11"/>
    </row>
    <row r="94" spans="1:9" x14ac:dyDescent="0.2">
      <c r="A94" s="15" t="s">
        <v>52</v>
      </c>
      <c r="B94" s="11"/>
      <c r="C94" s="11"/>
      <c r="D94" s="11"/>
      <c r="E94" s="12"/>
      <c r="F94" s="11"/>
      <c r="G94" s="11"/>
      <c r="H94" s="11"/>
      <c r="I94" s="11"/>
    </row>
    <row r="95" spans="1:9" x14ac:dyDescent="0.2">
      <c r="A95" s="15" t="s">
        <v>24</v>
      </c>
      <c r="B95" s="11"/>
      <c r="C95" s="11"/>
      <c r="D95" s="11"/>
      <c r="E95" s="12"/>
      <c r="F95" s="11"/>
      <c r="G95" s="11"/>
      <c r="H95" s="11"/>
      <c r="I95" s="11"/>
    </row>
    <row r="96" spans="1:9" x14ac:dyDescent="0.2">
      <c r="A96" s="15" t="s">
        <v>53</v>
      </c>
      <c r="B96" s="11"/>
      <c r="C96" s="11"/>
      <c r="D96" s="11"/>
      <c r="E96" s="12"/>
      <c r="F96" s="11"/>
      <c r="G96" s="11"/>
      <c r="H96" s="11"/>
      <c r="I96" s="11"/>
    </row>
    <row r="97" spans="1:9" x14ac:dyDescent="0.2">
      <c r="A97" s="15" t="s">
        <v>54</v>
      </c>
      <c r="B97" s="11"/>
      <c r="C97" s="11"/>
      <c r="D97" s="11"/>
      <c r="E97" s="12"/>
      <c r="F97" s="11"/>
      <c r="G97" s="11"/>
      <c r="H97" s="11"/>
      <c r="I97" s="11"/>
    </row>
    <row r="98" spans="1:9" x14ac:dyDescent="0.2">
      <c r="A98" s="15" t="s">
        <v>55</v>
      </c>
      <c r="B98" s="11"/>
      <c r="C98" s="11"/>
      <c r="D98" s="11"/>
      <c r="E98" s="12"/>
      <c r="F98" s="11"/>
      <c r="G98" s="11"/>
      <c r="H98" s="11"/>
      <c r="I98" s="11"/>
    </row>
    <row r="99" spans="1:9" x14ac:dyDescent="0.2">
      <c r="A99" s="15"/>
      <c r="B99" s="11"/>
      <c r="C99" s="11"/>
      <c r="D99" s="11"/>
      <c r="E99" s="12"/>
      <c r="F99" s="11"/>
      <c r="G99" s="11"/>
      <c r="H99" s="11"/>
      <c r="I99" s="11"/>
    </row>
    <row r="100" spans="1:9" x14ac:dyDescent="0.2">
      <c r="A100" s="15" t="s">
        <v>56</v>
      </c>
      <c r="B100" s="11"/>
      <c r="C100" s="11"/>
      <c r="D100" s="11"/>
      <c r="E100" s="12"/>
      <c r="F100" s="11"/>
      <c r="G100" s="11"/>
      <c r="H100" s="11"/>
      <c r="I100" s="11"/>
    </row>
    <row r="101" spans="1:9" x14ac:dyDescent="0.2">
      <c r="A101" s="15" t="s">
        <v>57</v>
      </c>
      <c r="B101" s="11"/>
      <c r="C101" s="11"/>
      <c r="D101" s="11"/>
      <c r="E101" s="12"/>
      <c r="F101" s="11"/>
      <c r="G101" s="11"/>
      <c r="H101" s="11"/>
      <c r="I101" s="11"/>
    </row>
    <row r="102" spans="1:9" x14ac:dyDescent="0.2">
      <c r="A102" s="15" t="s">
        <v>58</v>
      </c>
      <c r="B102" s="11"/>
      <c r="C102" s="11"/>
      <c r="D102" s="11"/>
      <c r="E102" s="12"/>
      <c r="F102" s="11"/>
      <c r="G102" s="11"/>
      <c r="H102" s="11"/>
      <c r="I102" s="11"/>
    </row>
    <row r="103" spans="1:9" x14ac:dyDescent="0.2">
      <c r="A103" s="15" t="s">
        <v>59</v>
      </c>
      <c r="B103" s="11"/>
      <c r="C103" s="11"/>
      <c r="D103" s="11"/>
      <c r="E103" s="12"/>
      <c r="F103" s="11"/>
      <c r="G103" s="11"/>
      <c r="H103" s="11"/>
      <c r="I103" s="11"/>
    </row>
    <row r="104" spans="1:9" x14ac:dyDescent="0.2">
      <c r="A104" s="15" t="s">
        <v>60</v>
      </c>
      <c r="B104" s="11"/>
      <c r="C104" s="11"/>
      <c r="D104" s="11"/>
      <c r="E104" s="12"/>
      <c r="F104" s="11"/>
      <c r="G104" s="11"/>
      <c r="H104" s="11"/>
      <c r="I104" s="11"/>
    </row>
    <row r="105" spans="1:9" x14ac:dyDescent="0.2">
      <c r="A105" s="15" t="s">
        <v>70</v>
      </c>
      <c r="B105" s="11"/>
      <c r="C105" s="11"/>
      <c r="D105" s="11"/>
      <c r="E105" s="12"/>
      <c r="F105" s="11"/>
      <c r="G105" s="11"/>
      <c r="H105" s="11"/>
      <c r="I105" s="11"/>
    </row>
    <row r="106" spans="1:9" x14ac:dyDescent="0.2">
      <c r="A106" s="15" t="s">
        <v>6</v>
      </c>
      <c r="B106" s="11"/>
      <c r="C106" s="11"/>
      <c r="D106" s="11"/>
      <c r="E106" s="12"/>
      <c r="F106" s="11"/>
      <c r="G106" s="11"/>
      <c r="H106" s="11"/>
      <c r="I106" s="11"/>
    </row>
    <row r="107" spans="1:9" x14ac:dyDescent="0.2">
      <c r="A107" s="16"/>
      <c r="B107" s="11"/>
      <c r="C107" s="11"/>
      <c r="D107" s="11"/>
      <c r="E107" s="12"/>
      <c r="F107" s="11"/>
      <c r="G107" s="11"/>
      <c r="H107" s="6"/>
      <c r="I107" s="6"/>
    </row>
    <row r="108" spans="1:9" x14ac:dyDescent="0.2">
      <c r="A108" s="15" t="s">
        <v>61</v>
      </c>
      <c r="B108" s="11"/>
      <c r="C108" s="11"/>
      <c r="D108" s="11"/>
      <c r="E108" s="12"/>
      <c r="F108" s="11"/>
      <c r="G108" s="11"/>
    </row>
    <row r="109" spans="1:9" x14ac:dyDescent="0.2">
      <c r="A109" s="16"/>
      <c r="B109" s="11"/>
      <c r="C109" s="11"/>
      <c r="D109" s="11"/>
      <c r="E109" s="12"/>
      <c r="F109" s="11"/>
      <c r="G109" s="11"/>
    </row>
    <row r="110" spans="1:9" x14ac:dyDescent="0.2">
      <c r="A110" s="15" t="s">
        <v>7</v>
      </c>
      <c r="B110" s="11"/>
      <c r="C110" s="11"/>
      <c r="D110" s="11"/>
      <c r="E110" s="12"/>
      <c r="F110" s="11"/>
      <c r="G110" s="11"/>
    </row>
    <row r="111" spans="1:9" x14ac:dyDescent="0.2">
      <c r="A111" s="16"/>
      <c r="B111" s="11"/>
      <c r="C111" s="11"/>
      <c r="D111" s="11"/>
      <c r="E111" s="12"/>
      <c r="F111" s="11"/>
      <c r="G111" s="11"/>
    </row>
    <row r="112" spans="1:9" x14ac:dyDescent="0.2">
      <c r="A112" s="17"/>
      <c r="B112" s="6"/>
      <c r="C112" s="6"/>
      <c r="D112" s="6"/>
      <c r="E112" s="18"/>
      <c r="F112" s="6"/>
      <c r="G112" s="6"/>
    </row>
  </sheetData>
  <mergeCells count="4">
    <mergeCell ref="A1:G1"/>
    <mergeCell ref="A46:E46"/>
    <mergeCell ref="A47:E47"/>
    <mergeCell ref="A56:E56"/>
  </mergeCells>
  <conditionalFormatting sqref="H3:H20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2023-05-22T15:45:49Z</dcterms:created>
  <dcterms:modified xsi:type="dcterms:W3CDTF">2026-06-18T22:00:50Z</dcterms:modified>
</cp:coreProperties>
</file>