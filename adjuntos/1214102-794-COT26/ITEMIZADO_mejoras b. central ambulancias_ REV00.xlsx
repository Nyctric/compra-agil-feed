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3ED1436E-A147-465B-ABB2-2A36CC1376F3}" xr6:coauthVersionLast="47" xr6:coauthVersionMax="47" xr10:uidLastSave="{00000000-0000-0000-0000-000000000000}"/>
  <bookViews>
    <workbookView xWindow="-120" yWindow="-120" windowWidth="20730" windowHeight="11160" tabRatio="812" xr2:uid="{00000000-000D-0000-FFFF-FFFF00000000}"/>
  </bookViews>
  <sheets>
    <sheet name="ITEMIZADO botiquin _amb" sheetId="9" r:id="rId1"/>
    <sheet name="respaldo cub" sheetId="11" state="hidden" r:id="rId2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9" l="1"/>
  <c r="F9" i="9"/>
  <c r="F10" i="9"/>
  <c r="F11" i="9"/>
  <c r="F12" i="9"/>
  <c r="F13" i="9"/>
  <c r="F14" i="9"/>
  <c r="F15" i="9"/>
  <c r="F8" i="9"/>
  <c r="F18" i="9" s="1"/>
  <c r="B7" i="9"/>
  <c r="F58" i="11"/>
  <c r="F57" i="11"/>
  <c r="H28" i="11"/>
  <c r="H27" i="11"/>
  <c r="D59" i="11"/>
  <c r="D58" i="11"/>
  <c r="D57" i="11"/>
  <c r="D53" i="11"/>
  <c r="D45" i="11"/>
  <c r="D38" i="11"/>
  <c r="D36" i="11"/>
  <c r="D35" i="11"/>
  <c r="D34" i="11"/>
  <c r="E28" i="11"/>
  <c r="E27" i="11"/>
  <c r="E29" i="11"/>
  <c r="D28" i="11"/>
  <c r="D27" i="11"/>
  <c r="C28" i="11"/>
  <c r="C27" i="11"/>
  <c r="E20" i="11"/>
  <c r="D22" i="11"/>
  <c r="E22" i="11"/>
  <c r="D21" i="11"/>
  <c r="E21" i="11"/>
  <c r="D20" i="11"/>
  <c r="D19" i="11"/>
  <c r="E19" i="11"/>
  <c r="E23" i="11"/>
  <c r="D14" i="11"/>
  <c r="D13" i="11"/>
  <c r="D15" i="11"/>
  <c r="D5" i="11"/>
  <c r="F19" i="9" l="1"/>
  <c r="F21" i="9"/>
  <c r="F20" i="9"/>
  <c r="G7" i="9"/>
  <c r="F22" i="9" l="1"/>
  <c r="F23" i="9" s="1"/>
</calcChain>
</file>

<file path=xl/sharedStrings.xml><?xml version="1.0" encoding="utf-8"?>
<sst xmlns="http://schemas.openxmlformats.org/spreadsheetml/2006/main" count="115" uniqueCount="89">
  <si>
    <t>PRESUPUESTO DETALLADO</t>
  </si>
  <si>
    <t>ITEM</t>
  </si>
  <si>
    <t>TOTAL</t>
  </si>
  <si>
    <t>1.1</t>
  </si>
  <si>
    <t>m3</t>
  </si>
  <si>
    <t>kg</t>
  </si>
  <si>
    <t>2.3</t>
  </si>
  <si>
    <t>COSTO DIRECTO</t>
  </si>
  <si>
    <t>ST</t>
  </si>
  <si>
    <t>GASTOS GENERALES</t>
  </si>
  <si>
    <t>%</t>
  </si>
  <si>
    <t>UTILIDADES</t>
  </si>
  <si>
    <t>TOT</t>
  </si>
  <si>
    <t>IVA</t>
  </si>
  <si>
    <t>DESCRIPCION</t>
  </si>
  <si>
    <t>UNI</t>
  </si>
  <si>
    <t>CANT</t>
  </si>
  <si>
    <t>PU</t>
  </si>
  <si>
    <t>PT</t>
  </si>
  <si>
    <t>4.1.1</t>
  </si>
  <si>
    <t>4.1.2</t>
  </si>
  <si>
    <t>4.1.3</t>
  </si>
  <si>
    <t>4.2.1</t>
  </si>
  <si>
    <t>Excavaciones</t>
  </si>
  <si>
    <t>Hormigon de fundaciones G25</t>
  </si>
  <si>
    <t>Enfierraduras de muros y pilares</t>
  </si>
  <si>
    <t>Estructuras Metálicas.-</t>
  </si>
  <si>
    <t>Enfierradura fundaciones y vigas de fundación</t>
  </si>
  <si>
    <t>Enfierradura de vigas (tipo V)</t>
  </si>
  <si>
    <t>3.1.2</t>
  </si>
  <si>
    <t>3.1.3</t>
  </si>
  <si>
    <t>3.1.6</t>
  </si>
  <si>
    <t>notas</t>
  </si>
  <si>
    <t>0,9 anchox 0,6 relleno + 1,12 altura solo corridas</t>
  </si>
  <si>
    <t>fundaciones corridas</t>
  </si>
  <si>
    <t>aisladas fund</t>
  </si>
  <si>
    <t>son 6 simples 1 doble</t>
  </si>
  <si>
    <t>dado</t>
  </si>
  <si>
    <t>Pedestal</t>
  </si>
  <si>
    <t>total</t>
  </si>
  <si>
    <t xml:space="preserve">Hormigon de Vigas G25 </t>
  </si>
  <si>
    <t>V1</t>
  </si>
  <si>
    <t>V2</t>
  </si>
  <si>
    <t>V3</t>
  </si>
  <si>
    <t>V4</t>
  </si>
  <si>
    <t>ML</t>
  </si>
  <si>
    <t>SECCION</t>
  </si>
  <si>
    <t xml:space="preserve">M3 </t>
  </si>
  <si>
    <t>Hormigon de pilaress P1 y P2</t>
  </si>
  <si>
    <t>P1</t>
  </si>
  <si>
    <t>P2</t>
  </si>
  <si>
    <t>TOTAL M3 PILRES</t>
  </si>
  <si>
    <t>TOTAL M3 VIGAS</t>
  </si>
  <si>
    <t>fc1</t>
  </si>
  <si>
    <t>fc2</t>
  </si>
  <si>
    <t>fa1</t>
  </si>
  <si>
    <t>totl</t>
  </si>
  <si>
    <t>muros 20</t>
  </si>
  <si>
    <t>muros 15</t>
  </si>
  <si>
    <t>p1</t>
  </si>
  <si>
    <t>p2</t>
  </si>
  <si>
    <t>v1</t>
  </si>
  <si>
    <t>v2</t>
  </si>
  <si>
    <t>v3</t>
  </si>
  <si>
    <t>v4</t>
  </si>
  <si>
    <t>PLACA 180X180X8</t>
  </si>
  <si>
    <t>100X100X3</t>
  </si>
  <si>
    <t>VIGA 100X50X3</t>
  </si>
  <si>
    <t>1.2</t>
  </si>
  <si>
    <t>1.3</t>
  </si>
  <si>
    <t>INDICAR PLAZO DE EJECUCION DE LAS OBRAS, EN DIAS CORRIDOS</t>
  </si>
  <si>
    <t>30042026-A</t>
  </si>
  <si>
    <t>MEJORAS SECTOR BOTIUIN CENTRAL AMBULANCIAS</t>
  </si>
  <si>
    <t xml:space="preserve">Nivelacion de pasillos Vereda hormigon sector Fotografia 01 </t>
  </si>
  <si>
    <t>m2</t>
  </si>
  <si>
    <t>cu</t>
  </si>
  <si>
    <t>Instalacion de lavamanos interior recinto Botiquin Según EETT</t>
  </si>
  <si>
    <t>Griferia según EETT</t>
  </si>
  <si>
    <t>1.4</t>
  </si>
  <si>
    <t>Instalacion A. potable</t>
  </si>
  <si>
    <t>1.5</t>
  </si>
  <si>
    <t>Conexión a red de alcantarillado existente</t>
  </si>
  <si>
    <t>1.6</t>
  </si>
  <si>
    <t>Instalacion de Placa Acero inox sobre Lavamanos</t>
  </si>
  <si>
    <t>1.7</t>
  </si>
  <si>
    <t>Reposicion de pavimento sector lavamanos</t>
  </si>
  <si>
    <t>1.8</t>
  </si>
  <si>
    <t>Suministro e instlacion de Equipo de Clima de 9.000 BTU según EETT</t>
  </si>
  <si>
    <t>Retiro de escombros y limpieza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</si>
</sst>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_);_(@_)"/>
    <numFmt numFmtId="165" formatCode="_(&quot;$&quot;* #,##0_);_(&quot;$&quot;* \(#,##0\);_(&quot;$&quot;* &quot;-&quot;_);_(@_)"/>
    <numFmt numFmtId="166" formatCode="_(* #,##0.00_);_(* \(#,##0.00\);_(* &quot;-&quot;_);_(@_)"/>
    <numFmt numFmtId="167" formatCode="0.0%"/>
    <numFmt numFmtId="168" formatCode="[$-340A]General"/>
    <numFmt numFmtId="169" formatCode="_(&quot;$&quot;* #,##0.0_);_(&quot;$&quot;* \(#,##0.0\);_(&quot;$&quot;* &quot;-&quot;_);_(@_)"/>
  </numFmts>
  <fonts count="14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b/>
      <sz val="12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1"/>
      <color rgb="FFFF000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0" fontId="2" fillId="0" borderId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8" fontId="9" fillId="0" borderId="0" applyBorder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3" fillId="0" borderId="0" xfId="2" applyFont="1"/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166" fontId="5" fillId="0" borderId="2" xfId="1" applyNumberFormat="1" applyFont="1" applyBorder="1" applyAlignment="1">
      <alignment horizontal="center"/>
    </xf>
    <xf numFmtId="165" fontId="5" fillId="0" borderId="2" xfId="2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0" borderId="8" xfId="0" applyFont="1" applyBorder="1" applyAlignment="1" applyProtection="1">
      <alignment horizontal="center" vertical="top" wrapText="1" readingOrder="1"/>
      <protection locked="0"/>
    </xf>
    <xf numFmtId="0" fontId="4" fillId="0" borderId="8" xfId="0" applyFont="1" applyBorder="1" applyAlignment="1" applyProtection="1">
      <alignment horizontal="right" vertical="top" wrapText="1" readingOrder="1"/>
      <protection locked="0"/>
    </xf>
    <xf numFmtId="165" fontId="3" fillId="0" borderId="8" xfId="2" applyFont="1" applyBorder="1"/>
    <xf numFmtId="165" fontId="4" fillId="0" borderId="8" xfId="2" applyFont="1" applyBorder="1" applyAlignment="1" applyProtection="1">
      <alignment horizontal="right" vertical="top" wrapText="1" readingOrder="1"/>
      <protection locked="0"/>
    </xf>
    <xf numFmtId="165" fontId="3" fillId="0" borderId="9" xfId="2" applyFont="1" applyBorder="1"/>
    <xf numFmtId="0" fontId="3" fillId="0" borderId="8" xfId="0" applyFont="1" applyBorder="1"/>
    <xf numFmtId="4" fontId="4" fillId="0" borderId="8" xfId="0" applyNumberFormat="1" applyFont="1" applyBorder="1" applyAlignment="1" applyProtection="1">
      <alignment horizontal="right" vertical="top" wrapText="1" readingOrder="1"/>
      <protection locked="0"/>
    </xf>
    <xf numFmtId="0" fontId="5" fillId="0" borderId="0" xfId="0" applyFont="1"/>
    <xf numFmtId="0" fontId="8" fillId="0" borderId="0" xfId="0" applyFont="1"/>
    <xf numFmtId="0" fontId="4" fillId="0" borderId="7" xfId="0" applyFont="1" applyBorder="1" applyAlignment="1" applyProtection="1">
      <alignment horizontal="left" vertical="top" wrapText="1" readingOrder="1"/>
      <protection locked="0"/>
    </xf>
    <xf numFmtId="0" fontId="4" fillId="0" borderId="8" xfId="0" applyFont="1" applyBorder="1" applyAlignment="1" applyProtection="1">
      <alignment horizontal="left" vertical="top" wrapText="1" indent="3" readingOrder="1"/>
      <protection locked="0"/>
    </xf>
    <xf numFmtId="0" fontId="3" fillId="0" borderId="8" xfId="0" applyFont="1" applyBorder="1" applyAlignment="1" applyProtection="1">
      <alignment horizontal="center" vertical="top" wrapText="1" readingOrder="1"/>
      <protection locked="0"/>
    </xf>
    <xf numFmtId="0" fontId="3" fillId="0" borderId="7" xfId="0" applyFont="1" applyBorder="1" applyAlignment="1" applyProtection="1">
      <alignment horizontal="left" vertical="top" wrapText="1" readingOrder="1"/>
      <protection locked="0"/>
    </xf>
    <xf numFmtId="0" fontId="3" fillId="0" borderId="8" xfId="0" applyFont="1" applyBorder="1" applyAlignment="1" applyProtection="1">
      <alignment horizontal="left" vertical="top" wrapText="1" indent="3" readingOrder="1"/>
      <protection locked="0"/>
    </xf>
    <xf numFmtId="0" fontId="10" fillId="0" borderId="7" xfId="0" applyFont="1" applyBorder="1" applyAlignment="1" applyProtection="1">
      <alignment horizontal="left" vertical="top" wrapText="1" readingOrder="1"/>
      <protection locked="0"/>
    </xf>
    <xf numFmtId="0" fontId="10" fillId="0" borderId="8" xfId="0" applyFont="1" applyBorder="1" applyAlignment="1" applyProtection="1">
      <alignment horizontal="left" vertical="top" wrapText="1" indent="3" readingOrder="1"/>
      <protection locked="0"/>
    </xf>
    <xf numFmtId="0" fontId="0" fillId="0" borderId="0" xfId="0" applyAlignment="1">
      <alignment horizontal="center"/>
    </xf>
    <xf numFmtId="0" fontId="4" fillId="0" borderId="8" xfId="0" applyFont="1" applyBorder="1" applyAlignment="1" applyProtection="1">
      <alignment horizontal="center" vertical="top" wrapText="1"/>
      <protection locked="0"/>
    </xf>
    <xf numFmtId="0" fontId="10" fillId="0" borderId="8" xfId="0" applyFont="1" applyBorder="1" applyAlignment="1" applyProtection="1">
      <alignment horizontal="center" vertical="top" wrapText="1" readingOrder="1"/>
      <protection locked="0"/>
    </xf>
    <xf numFmtId="0" fontId="10" fillId="0" borderId="8" xfId="0" applyFont="1" applyBorder="1"/>
    <xf numFmtId="165" fontId="10" fillId="0" borderId="8" xfId="2" applyFont="1" applyBorder="1"/>
    <xf numFmtId="0" fontId="10" fillId="0" borderId="0" xfId="0" applyFont="1"/>
    <xf numFmtId="0" fontId="8" fillId="0" borderId="0" xfId="0" applyFont="1" applyAlignment="1">
      <alignment horizontal="center"/>
    </xf>
    <xf numFmtId="165" fontId="5" fillId="0" borderId="0" xfId="2" applyFont="1"/>
    <xf numFmtId="165" fontId="4" fillId="0" borderId="8" xfId="2" applyFont="1" applyBorder="1" applyAlignment="1" applyProtection="1">
      <alignment horizontal="left" vertical="top" wrapText="1" readingOrder="1"/>
      <protection locked="0"/>
    </xf>
    <xf numFmtId="0" fontId="3" fillId="0" borderId="18" xfId="0" applyFont="1" applyBorder="1"/>
    <xf numFmtId="0" fontId="3" fillId="0" borderId="19" xfId="0" applyFont="1" applyBorder="1"/>
    <xf numFmtId="165" fontId="3" fillId="0" borderId="19" xfId="2" applyFont="1" applyBorder="1"/>
    <xf numFmtId="0" fontId="3" fillId="0" borderId="15" xfId="0" applyFont="1" applyBorder="1"/>
    <xf numFmtId="0" fontId="3" fillId="0" borderId="16" xfId="0" applyFont="1" applyBorder="1"/>
    <xf numFmtId="165" fontId="3" fillId="0" borderId="16" xfId="2" applyFont="1" applyBorder="1"/>
    <xf numFmtId="0" fontId="3" fillId="0" borderId="13" xfId="0" applyFont="1" applyBorder="1"/>
    <xf numFmtId="0" fontId="5" fillId="0" borderId="1" xfId="0" applyFont="1" applyBorder="1"/>
    <xf numFmtId="0" fontId="4" fillId="0" borderId="7" xfId="0" applyFont="1" applyBorder="1" applyAlignment="1" applyProtection="1">
      <alignment vertical="top" wrapText="1" readingOrder="1"/>
      <protection locked="0"/>
    </xf>
    <xf numFmtId="0" fontId="13" fillId="2" borderId="4" xfId="0" applyFont="1" applyFill="1" applyBorder="1" applyAlignment="1" applyProtection="1">
      <alignment vertical="top" wrapText="1" readingOrder="1"/>
      <protection locked="0"/>
    </xf>
    <xf numFmtId="0" fontId="13" fillId="2" borderId="5" xfId="0" applyFont="1" applyFill="1" applyBorder="1" applyAlignment="1" applyProtection="1">
      <alignment vertical="top" wrapText="1" readingOrder="1"/>
      <protection locked="0"/>
    </xf>
    <xf numFmtId="0" fontId="13" fillId="2" borderId="5" xfId="0" applyFont="1" applyFill="1" applyBorder="1" applyAlignment="1" applyProtection="1">
      <alignment horizontal="center" vertical="top" wrapText="1" readingOrder="1"/>
      <protection locked="0"/>
    </xf>
    <xf numFmtId="0" fontId="12" fillId="2" borderId="5" xfId="0" applyFont="1" applyFill="1" applyBorder="1"/>
    <xf numFmtId="165" fontId="12" fillId="2" borderId="5" xfId="2" applyFont="1" applyFill="1" applyBorder="1"/>
    <xf numFmtId="0" fontId="12" fillId="0" borderId="0" xfId="0" applyFont="1"/>
    <xf numFmtId="169" fontId="13" fillId="2" borderId="6" xfId="2" applyNumberFormat="1" applyFont="1" applyFill="1" applyBorder="1" applyAlignment="1" applyProtection="1">
      <alignment horizontal="right" vertical="top" wrapText="1" readingOrder="1"/>
      <protection locked="0"/>
    </xf>
    <xf numFmtId="165" fontId="5" fillId="0" borderId="9" xfId="2" applyFont="1" applyBorder="1"/>
    <xf numFmtId="0" fontId="13" fillId="0" borderId="4" xfId="0" applyFont="1" applyBorder="1" applyAlignment="1" applyProtection="1">
      <alignment vertical="top" wrapText="1" readingOrder="1"/>
      <protection locked="0"/>
    </xf>
    <xf numFmtId="0" fontId="13" fillId="0" borderId="5" xfId="0" applyFont="1" applyBorder="1" applyAlignment="1" applyProtection="1">
      <alignment vertical="top" wrapText="1" readingOrder="1"/>
      <protection locked="0"/>
    </xf>
    <xf numFmtId="0" fontId="13" fillId="0" borderId="5" xfId="0" applyFont="1" applyBorder="1" applyAlignment="1" applyProtection="1">
      <alignment horizontal="center" vertical="top" wrapText="1" readingOrder="1"/>
      <protection locked="0"/>
    </xf>
    <xf numFmtId="9" fontId="7" fillId="0" borderId="5" xfId="3" applyFont="1" applyBorder="1"/>
    <xf numFmtId="165" fontId="7" fillId="0" borderId="5" xfId="2" applyFont="1" applyBorder="1"/>
    <xf numFmtId="165" fontId="13" fillId="0" borderId="5" xfId="2" applyFont="1" applyBorder="1" applyAlignment="1" applyProtection="1">
      <alignment horizontal="right" vertical="top" wrapText="1" readingOrder="1"/>
      <protection locked="0"/>
    </xf>
    <xf numFmtId="165" fontId="7" fillId="0" borderId="6" xfId="2" applyFont="1" applyBorder="1"/>
    <xf numFmtId="0" fontId="13" fillId="0" borderId="7" xfId="0" applyFont="1" applyBorder="1" applyAlignment="1" applyProtection="1">
      <alignment vertical="top" wrapText="1" readingOrder="1"/>
      <protection locked="0"/>
    </xf>
    <xf numFmtId="0" fontId="13" fillId="0" borderId="8" xfId="0" applyFont="1" applyBorder="1" applyAlignment="1" applyProtection="1">
      <alignment vertical="top" wrapText="1" readingOrder="1"/>
      <protection locked="0"/>
    </xf>
    <xf numFmtId="0" fontId="13" fillId="0" borderId="8" xfId="0" applyFont="1" applyBorder="1" applyAlignment="1" applyProtection="1">
      <alignment horizontal="center" vertical="top" wrapText="1" readingOrder="1"/>
      <protection locked="0"/>
    </xf>
    <xf numFmtId="167" fontId="13" fillId="0" borderId="8" xfId="3" applyNumberFormat="1" applyFont="1" applyBorder="1" applyAlignment="1" applyProtection="1">
      <alignment horizontal="right" vertical="top" wrapText="1" readingOrder="1"/>
      <protection locked="0"/>
    </xf>
    <xf numFmtId="165" fontId="7" fillId="0" borderId="8" xfId="2" applyFont="1" applyBorder="1"/>
    <xf numFmtId="165" fontId="13" fillId="0" borderId="8" xfId="2" applyFont="1" applyBorder="1" applyAlignment="1" applyProtection="1">
      <alignment horizontal="right" vertical="top" wrapText="1" readingOrder="1"/>
      <protection locked="0"/>
    </xf>
    <xf numFmtId="165" fontId="7" fillId="0" borderId="9" xfId="2" applyFont="1" applyBorder="1"/>
    <xf numFmtId="167" fontId="7" fillId="0" borderId="8" xfId="3" applyNumberFormat="1" applyFont="1" applyBorder="1"/>
    <xf numFmtId="0" fontId="13" fillId="0" borderId="10" xfId="0" applyFont="1" applyBorder="1" applyAlignment="1" applyProtection="1">
      <alignment vertical="top" wrapText="1" readingOrder="1"/>
      <protection locked="0"/>
    </xf>
    <xf numFmtId="0" fontId="13" fillId="0" borderId="11" xfId="0" applyFont="1" applyBorder="1" applyAlignment="1" applyProtection="1">
      <alignment vertical="top" wrapText="1" readingOrder="1"/>
      <protection locked="0"/>
    </xf>
    <xf numFmtId="0" fontId="13" fillId="0" borderId="11" xfId="0" applyFont="1" applyBorder="1" applyAlignment="1" applyProtection="1">
      <alignment horizontal="center" vertical="top" wrapText="1" readingOrder="1"/>
      <protection locked="0"/>
    </xf>
    <xf numFmtId="9" fontId="7" fillId="0" borderId="11" xfId="3" applyFont="1" applyBorder="1"/>
    <xf numFmtId="165" fontId="7" fillId="0" borderId="11" xfId="2" applyFont="1" applyBorder="1"/>
    <xf numFmtId="165" fontId="13" fillId="0" borderId="11" xfId="2" applyFont="1" applyBorder="1" applyAlignment="1" applyProtection="1">
      <alignment horizontal="right" vertical="top" wrapText="1" readingOrder="1"/>
      <protection locked="0"/>
    </xf>
    <xf numFmtId="165" fontId="7" fillId="0" borderId="12" xfId="2" applyFont="1" applyBorder="1"/>
    <xf numFmtId="0" fontId="3" fillId="0" borderId="1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</cellXfs>
  <cellStyles count="9">
    <cellStyle name="Excel Built-in Normal" xfId="8" xr:uid="{00000000-0005-0000-0000-000000000000}"/>
    <cellStyle name="Millares [0]" xfId="1" builtinId="6"/>
    <cellStyle name="Millares [0] 2 2" xfId="6" xr:uid="{00000000-0005-0000-0000-000002000000}"/>
    <cellStyle name="Moneda [0]" xfId="2" builtinId="7"/>
    <cellStyle name="Moneda [0] 2" xfId="7" xr:uid="{00000000-0005-0000-0000-000004000000}"/>
    <cellStyle name="Normal" xfId="0" builtinId="0"/>
    <cellStyle name="Normal 2" xfId="5" xr:uid="{00000000-0005-0000-0000-000006000000}"/>
    <cellStyle name="Normal 2 2" xfId="4" xr:uid="{00000000-0005-0000-0000-000007000000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605117</xdr:colOff>
      <xdr:row>0</xdr:row>
      <xdr:rowOff>143436</xdr:rowOff>
    </xdr:from>
    <xdr:to>
      <xdr:col>6</xdr:col>
      <xdr:colOff>1412659</xdr:colOff>
      <xdr:row>4</xdr:row>
      <xdr:rowOff>117582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F29AC47-BDD4-411A-9092-A9F8194D8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65441" y="143436"/>
          <a:ext cx="807542" cy="7361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25215</xdr:rowOff>
    </xdr:from>
    <xdr:to>
      <xdr:col>1</xdr:col>
      <xdr:colOff>15536</xdr:colOff>
      <xdr:row>4</xdr:row>
      <xdr:rowOff>14876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2AE820-1C22-4F02-BA00-E2285CC65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5215"/>
          <a:ext cx="725581" cy="7612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8"/>
  <sheetViews>
    <sheetView tabSelected="1" zoomScale="80" zoomScaleNormal="80" workbookViewId="0">
      <selection activeCell="E26" sqref="E26"/>
    </sheetView>
  </sheetViews>
  <sheetFormatPr baseColWidth="10" defaultColWidth="10.85546875" defaultRowHeight="15" x14ac:dyDescent="0.25"/>
  <cols>
    <col min="1" max="1" width="10.42578125" style="2" customWidth="1"/>
    <col min="2" max="2" width="88.7109375" style="2" customWidth="1"/>
    <col min="3" max="3" width="8.42578125" style="2" customWidth="1"/>
    <col min="4" max="4" width="11.28515625" style="2" bestFit="1" customWidth="1"/>
    <col min="5" max="5" width="13.7109375" style="3" bestFit="1" customWidth="1"/>
    <col min="6" max="6" width="17.7109375" style="3" bestFit="1" customWidth="1"/>
    <col min="7" max="7" width="21.42578125" style="32" customWidth="1"/>
    <col min="8" max="252" width="6.7109375" style="2" customWidth="1"/>
    <col min="253" max="16384" width="10.85546875" style="2"/>
  </cols>
  <sheetData>
    <row r="1" spans="1:7" customFormat="1" ht="14.25" x14ac:dyDescent="0.2">
      <c r="A1" s="34"/>
      <c r="B1" s="34"/>
      <c r="C1" s="35"/>
      <c r="D1" s="35"/>
      <c r="E1" s="36"/>
      <c r="F1" s="36"/>
      <c r="G1" s="36"/>
    </row>
    <row r="2" spans="1:7" customFormat="1" ht="14.25" x14ac:dyDescent="0.2">
      <c r="A2" s="40"/>
      <c r="B2" s="73" t="s">
        <v>71</v>
      </c>
      <c r="C2" s="74"/>
      <c r="D2" s="74"/>
      <c r="E2" s="74"/>
      <c r="F2" s="74"/>
      <c r="G2" s="74"/>
    </row>
    <row r="3" spans="1:7" customFormat="1" ht="15.75" x14ac:dyDescent="0.25">
      <c r="A3" s="40"/>
      <c r="B3" s="75" t="s">
        <v>0</v>
      </c>
      <c r="C3" s="76"/>
      <c r="D3" s="76"/>
      <c r="E3" s="76"/>
      <c r="F3" s="76"/>
      <c r="G3" s="76"/>
    </row>
    <row r="4" spans="1:7" customFormat="1" ht="15.75" x14ac:dyDescent="0.25">
      <c r="A4" s="40"/>
      <c r="B4" s="75" t="s">
        <v>72</v>
      </c>
      <c r="C4" s="76"/>
      <c r="D4" s="76"/>
      <c r="E4" s="76"/>
      <c r="F4" s="76"/>
      <c r="G4" s="76"/>
    </row>
    <row r="5" spans="1:7" customFormat="1" thickBot="1" x14ac:dyDescent="0.25">
      <c r="A5" s="37"/>
      <c r="B5" s="37"/>
      <c r="C5" s="38"/>
      <c r="D5" s="38"/>
      <c r="E5" s="39"/>
      <c r="F5" s="39"/>
      <c r="G5" s="39"/>
    </row>
    <row r="6" spans="1:7" ht="15.75" thickBot="1" x14ac:dyDescent="0.3">
      <c r="A6" s="41" t="s">
        <v>1</v>
      </c>
      <c r="B6" s="5" t="s">
        <v>14</v>
      </c>
      <c r="C6" s="5" t="s">
        <v>15</v>
      </c>
      <c r="D6" s="6" t="s">
        <v>16</v>
      </c>
      <c r="E6" s="7" t="s">
        <v>17</v>
      </c>
      <c r="F6" s="7" t="s">
        <v>18</v>
      </c>
      <c r="G6" s="8" t="s">
        <v>2</v>
      </c>
    </row>
    <row r="7" spans="1:7" s="48" customFormat="1" ht="15" customHeight="1" x14ac:dyDescent="0.2">
      <c r="A7" s="43">
        <v>1</v>
      </c>
      <c r="B7" s="44" t="str">
        <f>+B4</f>
        <v>MEJORAS SECTOR BOTIUIN CENTRAL AMBULANCIAS</v>
      </c>
      <c r="C7" s="45"/>
      <c r="D7" s="46"/>
      <c r="E7" s="47"/>
      <c r="F7" s="47"/>
      <c r="G7" s="49">
        <f>SUM(F8:F17)</f>
        <v>0</v>
      </c>
    </row>
    <row r="8" spans="1:7" x14ac:dyDescent="0.25">
      <c r="A8" s="42" t="s">
        <v>3</v>
      </c>
      <c r="B8" s="19" t="s">
        <v>73</v>
      </c>
      <c r="C8" s="9" t="s">
        <v>74</v>
      </c>
      <c r="D8" s="10">
        <v>21.6</v>
      </c>
      <c r="E8" s="33"/>
      <c r="F8" s="11">
        <f t="shared" ref="F8:F17" si="0">+E8*D8</f>
        <v>0</v>
      </c>
      <c r="G8" s="50"/>
    </row>
    <row r="9" spans="1:7" x14ac:dyDescent="0.25">
      <c r="A9" s="42" t="s">
        <v>68</v>
      </c>
      <c r="B9" s="19" t="s">
        <v>76</v>
      </c>
      <c r="C9" s="9" t="s">
        <v>75</v>
      </c>
      <c r="D9" s="10">
        <v>1</v>
      </c>
      <c r="E9" s="33"/>
      <c r="F9" s="11">
        <f t="shared" si="0"/>
        <v>0</v>
      </c>
      <c r="G9" s="50"/>
    </row>
    <row r="10" spans="1:7" x14ac:dyDescent="0.25">
      <c r="A10" s="42" t="s">
        <v>69</v>
      </c>
      <c r="B10" s="19" t="s">
        <v>77</v>
      </c>
      <c r="C10" s="9" t="s">
        <v>75</v>
      </c>
      <c r="D10" s="10">
        <v>1</v>
      </c>
      <c r="E10" s="33"/>
      <c r="F10" s="11">
        <f t="shared" si="0"/>
        <v>0</v>
      </c>
      <c r="G10" s="50"/>
    </row>
    <row r="11" spans="1:7" x14ac:dyDescent="0.25">
      <c r="A11" s="42" t="s">
        <v>78</v>
      </c>
      <c r="B11" s="19" t="s">
        <v>79</v>
      </c>
      <c r="C11" s="9" t="s">
        <v>75</v>
      </c>
      <c r="D11" s="10">
        <v>1</v>
      </c>
      <c r="E11" s="33"/>
      <c r="F11" s="11">
        <f t="shared" si="0"/>
        <v>0</v>
      </c>
      <c r="G11" s="50"/>
    </row>
    <row r="12" spans="1:7" x14ac:dyDescent="0.25">
      <c r="A12" s="42" t="s">
        <v>80</v>
      </c>
      <c r="B12" s="19" t="s">
        <v>81</v>
      </c>
      <c r="C12" s="9" t="s">
        <v>75</v>
      </c>
      <c r="D12" s="10">
        <v>1</v>
      </c>
      <c r="E12" s="33"/>
      <c r="F12" s="11">
        <f t="shared" si="0"/>
        <v>0</v>
      </c>
      <c r="G12" s="50"/>
    </row>
    <row r="13" spans="1:7" x14ac:dyDescent="0.25">
      <c r="A13" s="42" t="s">
        <v>82</v>
      </c>
      <c r="B13" s="19" t="s">
        <v>83</v>
      </c>
      <c r="C13" s="9" t="s">
        <v>75</v>
      </c>
      <c r="D13" s="10">
        <v>1</v>
      </c>
      <c r="E13" s="33"/>
      <c r="F13" s="11">
        <f t="shared" si="0"/>
        <v>0</v>
      </c>
      <c r="G13" s="50"/>
    </row>
    <row r="14" spans="1:7" x14ac:dyDescent="0.25">
      <c r="A14" s="42" t="s">
        <v>84</v>
      </c>
      <c r="B14" s="19" t="s">
        <v>85</v>
      </c>
      <c r="C14" s="9" t="s">
        <v>75</v>
      </c>
      <c r="D14" s="10">
        <v>1</v>
      </c>
      <c r="E14" s="33"/>
      <c r="F14" s="11">
        <f t="shared" si="0"/>
        <v>0</v>
      </c>
      <c r="G14" s="50"/>
    </row>
    <row r="15" spans="1:7" x14ac:dyDescent="0.25">
      <c r="A15" s="42" t="s">
        <v>86</v>
      </c>
      <c r="B15" s="19" t="s">
        <v>87</v>
      </c>
      <c r="C15" s="9" t="s">
        <v>75</v>
      </c>
      <c r="D15" s="10">
        <v>1</v>
      </c>
      <c r="E15" s="33"/>
      <c r="F15" s="11">
        <f t="shared" si="0"/>
        <v>0</v>
      </c>
      <c r="G15" s="50"/>
    </row>
    <row r="16" spans="1:7" x14ac:dyDescent="0.25">
      <c r="A16" s="42" t="s">
        <v>68</v>
      </c>
      <c r="B16" s="19" t="s">
        <v>88</v>
      </c>
      <c r="C16" s="9" t="s">
        <v>75</v>
      </c>
      <c r="D16" s="10">
        <v>1</v>
      </c>
      <c r="E16" s="33"/>
      <c r="F16" s="11">
        <f t="shared" si="0"/>
        <v>0</v>
      </c>
      <c r="G16" s="50"/>
    </row>
    <row r="17" spans="1:7" ht="15.75" thickBot="1" x14ac:dyDescent="0.3">
      <c r="A17" s="42"/>
      <c r="B17" s="19"/>
      <c r="C17" s="9"/>
      <c r="D17" s="10"/>
      <c r="E17" s="33"/>
      <c r="F17" s="11"/>
      <c r="G17" s="50"/>
    </row>
    <row r="18" spans="1:7" ht="15.75" x14ac:dyDescent="0.25">
      <c r="A18" s="51">
        <v>2</v>
      </c>
      <c r="B18" s="52" t="s">
        <v>7</v>
      </c>
      <c r="C18" s="53" t="s">
        <v>8</v>
      </c>
      <c r="D18" s="54"/>
      <c r="E18" s="55"/>
      <c r="F18" s="56">
        <f>SUM(F8:F17)</f>
        <v>0</v>
      </c>
      <c r="G18" s="57"/>
    </row>
    <row r="19" spans="1:7" ht="15.75" x14ac:dyDescent="0.25">
      <c r="A19" s="58">
        <v>3</v>
      </c>
      <c r="B19" s="59" t="s">
        <v>9</v>
      </c>
      <c r="C19" s="60" t="s">
        <v>10</v>
      </c>
      <c r="D19" s="61"/>
      <c r="E19" s="62"/>
      <c r="F19" s="63">
        <f>+F18*D19</f>
        <v>0</v>
      </c>
      <c r="G19" s="64"/>
    </row>
    <row r="20" spans="1:7" ht="15.75" x14ac:dyDescent="0.25">
      <c r="A20" s="58">
        <v>4</v>
      </c>
      <c r="B20" s="59" t="s">
        <v>11</v>
      </c>
      <c r="C20" s="60" t="s">
        <v>10</v>
      </c>
      <c r="D20" s="61"/>
      <c r="E20" s="62"/>
      <c r="F20" s="63">
        <f>+F18*D20</f>
        <v>0</v>
      </c>
      <c r="G20" s="64"/>
    </row>
    <row r="21" spans="1:7" ht="15.75" x14ac:dyDescent="0.25">
      <c r="A21" s="58">
        <v>5</v>
      </c>
      <c r="B21" s="59" t="s">
        <v>2</v>
      </c>
      <c r="C21" s="60" t="s">
        <v>12</v>
      </c>
      <c r="D21" s="65"/>
      <c r="E21" s="62"/>
      <c r="F21" s="63">
        <f>SUM(F18:F20)</f>
        <v>0</v>
      </c>
      <c r="G21" s="64"/>
    </row>
    <row r="22" spans="1:7" ht="15.75" x14ac:dyDescent="0.25">
      <c r="A22" s="58">
        <v>6</v>
      </c>
      <c r="B22" s="59" t="s">
        <v>13</v>
      </c>
      <c r="C22" s="60" t="s">
        <v>10</v>
      </c>
      <c r="D22" s="61">
        <v>0.19</v>
      </c>
      <c r="E22" s="62"/>
      <c r="F22" s="63">
        <f>+F21*D22</f>
        <v>0</v>
      </c>
      <c r="G22" s="64"/>
    </row>
    <row r="23" spans="1:7" ht="16.5" thickBot="1" x14ac:dyDescent="0.3">
      <c r="A23" s="66">
        <v>7</v>
      </c>
      <c r="B23" s="67" t="s">
        <v>2</v>
      </c>
      <c r="C23" s="68" t="s">
        <v>12</v>
      </c>
      <c r="D23" s="69"/>
      <c r="E23" s="70"/>
      <c r="F23" s="71">
        <f>+F21+F22</f>
        <v>0</v>
      </c>
      <c r="G23" s="72"/>
    </row>
    <row r="25" spans="1:7" ht="15.75" thickBot="1" x14ac:dyDescent="0.3"/>
    <row r="26" spans="1:7" x14ac:dyDescent="0.25">
      <c r="B26" s="16" t="s">
        <v>70</v>
      </c>
      <c r="C26" s="77"/>
      <c r="D26" s="78"/>
    </row>
    <row r="27" spans="1:7" x14ac:dyDescent="0.25">
      <c r="C27" s="73"/>
      <c r="D27" s="79"/>
    </row>
    <row r="28" spans="1:7" ht="15.75" thickBot="1" x14ac:dyDescent="0.3">
      <c r="C28" s="80"/>
      <c r="D28" s="81"/>
    </row>
  </sheetData>
  <mergeCells count="4">
    <mergeCell ref="B2:G2"/>
    <mergeCell ref="B3:G3"/>
    <mergeCell ref="B4:G4"/>
    <mergeCell ref="C26:D28"/>
  </mergeCells>
  <phoneticPr fontId="11" type="noConversion"/>
  <pageMargins left="0.70866141732283472" right="0.70866141732283472" top="0.74803149606299213" bottom="0.74803149606299213" header="0.31496062992125984" footer="0.31496062992125984"/>
  <pageSetup scale="36" fitToHeight="6" orientation="portrait" horizontalDpi="1200" verticalDpi="1200" r:id="rId1"/>
  <ignoredErrors>
    <ignoredError sqref="E19 B7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9"/>
  <sheetViews>
    <sheetView workbookViewId="0">
      <selection activeCell="E16" sqref="E16"/>
    </sheetView>
  </sheetViews>
  <sheetFormatPr baseColWidth="10" defaultRowHeight="12.75" x14ac:dyDescent="0.2"/>
  <cols>
    <col min="2" max="2" width="39.7109375" customWidth="1"/>
    <col min="4" max="4" width="11.42578125" style="25"/>
    <col min="5" max="5" width="61.140625" customWidth="1"/>
  </cols>
  <sheetData>
    <row r="1" spans="1:5" ht="13.5" thickBot="1" x14ac:dyDescent="0.25"/>
    <row r="2" spans="1:5" ht="15" x14ac:dyDescent="0.25">
      <c r="A2" s="4" t="s">
        <v>1</v>
      </c>
      <c r="B2" s="5" t="s">
        <v>14</v>
      </c>
      <c r="C2" s="5" t="s">
        <v>15</v>
      </c>
      <c r="D2" s="6" t="s">
        <v>16</v>
      </c>
      <c r="E2" s="8" t="s">
        <v>32</v>
      </c>
    </row>
    <row r="3" spans="1:5" s="2" customFormat="1" ht="14.25" x14ac:dyDescent="0.2">
      <c r="A3" s="18" t="s">
        <v>6</v>
      </c>
      <c r="B3" s="19" t="s">
        <v>23</v>
      </c>
      <c r="C3" s="9" t="s">
        <v>4</v>
      </c>
      <c r="D3" s="26"/>
      <c r="E3" s="13"/>
    </row>
    <row r="4" spans="1:5" x14ac:dyDescent="0.2">
      <c r="B4" s="1" t="s">
        <v>34</v>
      </c>
      <c r="D4" s="25">
        <v>212</v>
      </c>
      <c r="E4" s="1" t="s">
        <v>33</v>
      </c>
    </row>
    <row r="5" spans="1:5" x14ac:dyDescent="0.2">
      <c r="B5" s="1" t="s">
        <v>35</v>
      </c>
      <c r="D5" s="25">
        <f>0.6*0.9*1.6*8</f>
        <v>6.9120000000000008</v>
      </c>
      <c r="E5" s="1" t="s">
        <v>36</v>
      </c>
    </row>
    <row r="11" spans="1:5" s="2" customFormat="1" ht="14.25" x14ac:dyDescent="0.2">
      <c r="A11" s="21" t="s">
        <v>29</v>
      </c>
      <c r="B11" s="22" t="s">
        <v>24</v>
      </c>
      <c r="C11" s="20" t="s">
        <v>4</v>
      </c>
      <c r="D11" s="14"/>
      <c r="E11" s="11"/>
    </row>
    <row r="13" spans="1:5" x14ac:dyDescent="0.2">
      <c r="B13" s="1" t="s">
        <v>37</v>
      </c>
      <c r="D13" s="25">
        <f>131*0.4*0.9+(0.9*0.9*0.4*8)+(0.16*32*0.4)</f>
        <v>51.800000000000004</v>
      </c>
    </row>
    <row r="14" spans="1:5" x14ac:dyDescent="0.2">
      <c r="B14" s="1" t="s">
        <v>38</v>
      </c>
      <c r="D14" s="25">
        <f>131*1*0.2+(0.2*0.2*1*8)+(0.16*32*1)</f>
        <v>31.640000000000004</v>
      </c>
    </row>
    <row r="15" spans="1:5" x14ac:dyDescent="0.2">
      <c r="B15" s="1" t="s">
        <v>39</v>
      </c>
      <c r="D15" s="25">
        <f>SUM(D13:D14)</f>
        <v>83.440000000000012</v>
      </c>
    </row>
    <row r="16" spans="1:5" x14ac:dyDescent="0.2">
      <c r="B16" s="1"/>
    </row>
    <row r="18" spans="1:8" s="30" customFormat="1" ht="14.25" x14ac:dyDescent="0.2">
      <c r="A18" s="23" t="s">
        <v>30</v>
      </c>
      <c r="B18" s="24" t="s">
        <v>40</v>
      </c>
      <c r="C18" s="27" t="s">
        <v>45</v>
      </c>
      <c r="D18" s="28" t="s">
        <v>46</v>
      </c>
      <c r="E18" s="29" t="s">
        <v>47</v>
      </c>
    </row>
    <row r="19" spans="1:8" x14ac:dyDescent="0.2">
      <c r="B19" t="s">
        <v>41</v>
      </c>
      <c r="C19">
        <v>39.5</v>
      </c>
      <c r="D19" s="25">
        <f>0.4*0.2</f>
        <v>8.0000000000000016E-2</v>
      </c>
      <c r="E19">
        <f>+D19*C19</f>
        <v>3.1600000000000006</v>
      </c>
    </row>
    <row r="20" spans="1:8" x14ac:dyDescent="0.2">
      <c r="B20" t="s">
        <v>42</v>
      </c>
      <c r="C20">
        <v>10.42</v>
      </c>
      <c r="D20" s="25">
        <f>0.6*0.2</f>
        <v>0.12</v>
      </c>
      <c r="E20">
        <f t="shared" ref="E20:E22" si="0">+D20*C20</f>
        <v>1.2504</v>
      </c>
    </row>
    <row r="21" spans="1:8" x14ac:dyDescent="0.2">
      <c r="B21" t="s">
        <v>43</v>
      </c>
      <c r="C21">
        <v>9.48</v>
      </c>
      <c r="D21" s="25">
        <f>1.03*0.2</f>
        <v>0.20600000000000002</v>
      </c>
      <c r="E21">
        <f t="shared" si="0"/>
        <v>1.9528800000000002</v>
      </c>
    </row>
    <row r="22" spans="1:8" x14ac:dyDescent="0.2">
      <c r="B22" t="s">
        <v>44</v>
      </c>
      <c r="C22">
        <v>2.15</v>
      </c>
      <c r="D22" s="25">
        <f>1.49*0.2</f>
        <v>0.29799999999999999</v>
      </c>
      <c r="E22">
        <f t="shared" si="0"/>
        <v>0.64069999999999994</v>
      </c>
    </row>
    <row r="23" spans="1:8" x14ac:dyDescent="0.2">
      <c r="B23" t="s">
        <v>52</v>
      </c>
      <c r="E23">
        <f>SUM(E19:E22)</f>
        <v>7.0039800000000012</v>
      </c>
    </row>
    <row r="26" spans="1:8" s="2" customFormat="1" ht="14.25" x14ac:dyDescent="0.2">
      <c r="A26" s="21" t="s">
        <v>31</v>
      </c>
      <c r="B26" s="22" t="s">
        <v>48</v>
      </c>
      <c r="C26" s="20" t="s">
        <v>45</v>
      </c>
      <c r="D26" s="14"/>
      <c r="E26" s="11"/>
      <c r="F26" s="11"/>
      <c r="G26" s="13"/>
      <c r="H26" s="13"/>
    </row>
    <row r="27" spans="1:8" x14ac:dyDescent="0.2">
      <c r="B27" t="s">
        <v>49</v>
      </c>
      <c r="C27">
        <f>3.54*8</f>
        <v>28.32</v>
      </c>
      <c r="D27" s="25">
        <f>0.2*0.3</f>
        <v>0.06</v>
      </c>
      <c r="E27">
        <f>+D27*C27</f>
        <v>1.6992</v>
      </c>
      <c r="H27">
        <f>+C27*0.8</f>
        <v>22.656000000000002</v>
      </c>
    </row>
    <row r="28" spans="1:8" x14ac:dyDescent="0.2">
      <c r="B28" t="s">
        <v>50</v>
      </c>
      <c r="C28">
        <f>3.54*2</f>
        <v>7.08</v>
      </c>
      <c r="D28" s="25">
        <f>0.6*0.2</f>
        <v>0.12</v>
      </c>
      <c r="E28">
        <f>+D28*C28</f>
        <v>0.84960000000000002</v>
      </c>
      <c r="H28">
        <f>+C28*1.6</f>
        <v>11.328000000000001</v>
      </c>
    </row>
    <row r="29" spans="1:8" x14ac:dyDescent="0.2">
      <c r="B29" t="s">
        <v>51</v>
      </c>
      <c r="E29">
        <f>SUM(E25:E28)</f>
        <v>2.5488</v>
      </c>
    </row>
    <row r="32" spans="1:8" s="2" customFormat="1" ht="28.5" x14ac:dyDescent="0.2">
      <c r="A32" s="18" t="s">
        <v>19</v>
      </c>
      <c r="B32" s="19" t="s">
        <v>27</v>
      </c>
      <c r="C32" s="9" t="s">
        <v>5</v>
      </c>
      <c r="D32" s="15"/>
      <c r="E32" s="12"/>
      <c r="F32" s="12"/>
      <c r="G32" s="13"/>
      <c r="H32" s="13"/>
    </row>
    <row r="34" spans="1:8" x14ac:dyDescent="0.2">
      <c r="B34" t="s">
        <v>53</v>
      </c>
      <c r="D34" s="25">
        <f>1180+223+1780</f>
        <v>3183</v>
      </c>
    </row>
    <row r="35" spans="1:8" x14ac:dyDescent="0.2">
      <c r="B35" t="s">
        <v>54</v>
      </c>
      <c r="D35" s="25">
        <f>455+335</f>
        <v>790</v>
      </c>
    </row>
    <row r="36" spans="1:8" x14ac:dyDescent="0.2">
      <c r="B36" t="s">
        <v>55</v>
      </c>
      <c r="D36" s="25">
        <f>30*6</f>
        <v>180</v>
      </c>
    </row>
    <row r="37" spans="1:8" x14ac:dyDescent="0.2">
      <c r="B37" t="s">
        <v>54</v>
      </c>
      <c r="D37" s="25">
        <v>60</v>
      </c>
    </row>
    <row r="38" spans="1:8" x14ac:dyDescent="0.2">
      <c r="C38" s="17" t="s">
        <v>56</v>
      </c>
      <c r="D38" s="31">
        <f>SUM(D34:D37)</f>
        <v>4213</v>
      </c>
    </row>
    <row r="40" spans="1:8" s="2" customFormat="1" ht="14.25" x14ac:dyDescent="0.2">
      <c r="A40" s="18" t="s">
        <v>20</v>
      </c>
      <c r="B40" s="19" t="s">
        <v>25</v>
      </c>
      <c r="C40" s="9" t="s">
        <v>5</v>
      </c>
      <c r="D40" s="15"/>
      <c r="E40" s="12"/>
      <c r="F40" s="12"/>
      <c r="G40" s="13"/>
      <c r="H40" s="13"/>
    </row>
    <row r="41" spans="1:8" x14ac:dyDescent="0.2">
      <c r="B41" t="s">
        <v>57</v>
      </c>
      <c r="D41" s="25">
        <v>1400</v>
      </c>
    </row>
    <row r="42" spans="1:8" x14ac:dyDescent="0.2">
      <c r="B42" t="s">
        <v>58</v>
      </c>
      <c r="D42" s="25">
        <v>300</v>
      </c>
    </row>
    <row r="43" spans="1:8" x14ac:dyDescent="0.2">
      <c r="B43" t="s">
        <v>59</v>
      </c>
      <c r="D43" s="25">
        <v>315</v>
      </c>
    </row>
    <row r="44" spans="1:8" x14ac:dyDescent="0.2">
      <c r="B44" t="s">
        <v>60</v>
      </c>
      <c r="D44" s="25">
        <v>150</v>
      </c>
    </row>
    <row r="45" spans="1:8" x14ac:dyDescent="0.2">
      <c r="C45" s="17" t="s">
        <v>39</v>
      </c>
      <c r="D45" s="31">
        <f>SUM(D41:D44)</f>
        <v>2165</v>
      </c>
    </row>
    <row r="48" spans="1:8" s="2" customFormat="1" ht="14.25" x14ac:dyDescent="0.2">
      <c r="A48" s="18" t="s">
        <v>21</v>
      </c>
      <c r="B48" s="19" t="s">
        <v>28</v>
      </c>
      <c r="C48" s="9" t="s">
        <v>5</v>
      </c>
      <c r="D48" s="10"/>
      <c r="E48" s="12"/>
      <c r="F48" s="12"/>
      <c r="G48" s="13"/>
      <c r="H48" s="13"/>
    </row>
    <row r="49" spans="1:8" x14ac:dyDescent="0.2">
      <c r="B49" s="1" t="s">
        <v>61</v>
      </c>
      <c r="D49" s="25">
        <v>604</v>
      </c>
    </row>
    <row r="50" spans="1:8" x14ac:dyDescent="0.2">
      <c r="B50" s="1" t="s">
        <v>62</v>
      </c>
      <c r="D50" s="25">
        <v>270</v>
      </c>
    </row>
    <row r="51" spans="1:8" x14ac:dyDescent="0.2">
      <c r="B51" s="1" t="s">
        <v>63</v>
      </c>
      <c r="D51" s="25">
        <v>180</v>
      </c>
    </row>
    <row r="52" spans="1:8" x14ac:dyDescent="0.2">
      <c r="B52" s="1" t="s">
        <v>64</v>
      </c>
      <c r="D52" s="25">
        <v>95</v>
      </c>
    </row>
    <row r="53" spans="1:8" x14ac:dyDescent="0.2">
      <c r="C53" s="17" t="s">
        <v>39</v>
      </c>
      <c r="D53" s="25">
        <f>SUM(D49:D52)</f>
        <v>1149</v>
      </c>
    </row>
    <row r="55" spans="1:8" s="2" customFormat="1" ht="14.25" x14ac:dyDescent="0.2">
      <c r="A55" s="18" t="s">
        <v>22</v>
      </c>
      <c r="B55" s="19" t="s">
        <v>26</v>
      </c>
      <c r="C55" s="9" t="s">
        <v>5</v>
      </c>
      <c r="D55" s="10"/>
      <c r="E55" s="12"/>
      <c r="F55" s="12"/>
      <c r="G55" s="13"/>
      <c r="H55" s="13"/>
    </row>
    <row r="56" spans="1:8" x14ac:dyDescent="0.2">
      <c r="B56" s="1" t="s">
        <v>65</v>
      </c>
      <c r="D56" s="25">
        <v>18</v>
      </c>
    </row>
    <row r="57" spans="1:8" x14ac:dyDescent="0.2">
      <c r="B57" s="1" t="s">
        <v>66</v>
      </c>
      <c r="D57" s="25">
        <f>33*8.96</f>
        <v>295.68</v>
      </c>
      <c r="E57">
        <v>0.4</v>
      </c>
      <c r="F57">
        <f>33*E57</f>
        <v>13.200000000000001</v>
      </c>
    </row>
    <row r="58" spans="1:8" x14ac:dyDescent="0.2">
      <c r="B58" s="1" t="s">
        <v>67</v>
      </c>
      <c r="D58" s="25">
        <f>18*6.6</f>
        <v>118.8</v>
      </c>
      <c r="E58">
        <v>0.3</v>
      </c>
      <c r="F58">
        <f>18*E58</f>
        <v>5.3999999999999995</v>
      </c>
    </row>
    <row r="59" spans="1:8" x14ac:dyDescent="0.2">
      <c r="C59" s="17" t="s">
        <v>39</v>
      </c>
      <c r="D59" s="25">
        <f>SUM(D55:D58)</f>
        <v>432.48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ITEMIZADO botiquin _amb</vt:lpstr>
      <vt:lpstr>respaldo cub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2022-05-23T16:02:04Z</dcterms:created>
  <dcterms:modified xsi:type="dcterms:W3CDTF">2026-04-30T18:27:21Z</dcterms:modified>
</cp:coreProperties>
</file>