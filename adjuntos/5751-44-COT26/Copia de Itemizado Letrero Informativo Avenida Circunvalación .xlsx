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jnenen\Documents\REPOSICIÓN Y REPARACIÓN DE CERCO, LIMPIEZA E INSTALACIÓN DE LETRERO LOTES H-1, H-2 y H-3,  GUACAMAYO\"/>
    </mc:Choice>
  </mc:AlternateContent>
  <xr:revisionPtr revIDLastSave="0" documentId="8_{F0535FD5-DB44-45FA-BCE2-11F6B27D1C73}" xr6:coauthVersionLast="47" xr6:coauthVersionMax="47" xr10:uidLastSave="{00000000-0000-0000-0000-000000000000}"/>
  <bookViews>
    <workbookView xWindow="-21990" yWindow="4185" windowWidth="21600" windowHeight="11295" xr2:uid="{00000000-000D-0000-FFFF-FFFF00000000}"/>
  </bookViews>
  <sheets>
    <sheet name="Hoja1" sheetId="1" r:id="rId1"/>
  </sheets>
  <definedNames>
    <definedName name="_xlnm.Print_Area" localSheetId="0">Hoja1!$A$2:$G$36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5" i="1" l="1"/>
  <c r="G16" i="1"/>
  <c r="G17" i="1"/>
  <c r="G18" i="1"/>
  <c r="G29" i="1" l="1"/>
  <c r="G34" i="1"/>
</calcChain>
</file>

<file path=xl/sharedStrings.xml><?xml version="1.0" encoding="utf-8"?>
<sst xmlns="http://schemas.openxmlformats.org/spreadsheetml/2006/main" count="62" uniqueCount="52">
  <si>
    <t>PROYECTO</t>
  </si>
  <si>
    <t>REGIÓN</t>
  </si>
  <si>
    <t>FECHA</t>
  </si>
  <si>
    <t>ITEM</t>
  </si>
  <si>
    <t>PARTIDA</t>
  </si>
  <si>
    <t>UNIDAD</t>
  </si>
  <si>
    <t>CANTIDAD</t>
  </si>
  <si>
    <t>gl</t>
  </si>
  <si>
    <t>: De Los Ríos</t>
  </si>
  <si>
    <t>PLAZO DE EJECUCIÓN</t>
  </si>
  <si>
    <t>Total (impuesto incluido)</t>
  </si>
  <si>
    <t xml:space="preserve"> TOTAL ($)</t>
  </si>
  <si>
    <t>SubTotal Neto</t>
  </si>
  <si>
    <t>UN</t>
  </si>
  <si>
    <t>Perfil Cuadrado Acero 50x50x2 mm 6 m</t>
  </si>
  <si>
    <t xml:space="preserve">Poyo de Hormigón H-20 40x40x80cm </t>
  </si>
  <si>
    <t xml:space="preserve">Pintura electroestática negro </t>
  </si>
  <si>
    <t>ITEMIZADO APROXIMADO REFERENCIAL</t>
  </si>
  <si>
    <t>Remache tipo pop 4,8x21 mm</t>
  </si>
  <si>
    <t xml:space="preserve">Pernos Hexagonales de 3/8X6” </t>
  </si>
  <si>
    <t xml:space="preserve">Plancha Acero Galvanizada de 1mm </t>
  </si>
  <si>
    <t>Utilidad 20%</t>
  </si>
  <si>
    <t>Gastos Generales 10%</t>
  </si>
  <si>
    <t xml:space="preserve"> PRECIO UNITARIO (c/I.V.A.)</t>
  </si>
  <si>
    <t>Gráfica autoadhesiva con filtro UV y Lámina antigrafiti</t>
  </si>
  <si>
    <t>: Avenida Circunvalación N° 290 de Valdivia</t>
  </si>
  <si>
    <t>: 05 días corridos</t>
  </si>
  <si>
    <t xml:space="preserve">: REPOSICIÓN Y REPARACIÓN DE CERCO, LIMPIEZA E INSTALACIÓN DE LETRERO
LOTES H-1, H-2 y H-3, SECTOR GUACAMAYO- VALDIVIA
</t>
  </si>
  <si>
    <t>2.1</t>
  </si>
  <si>
    <t>Polín de 3"- 4" de 2,40m</t>
  </si>
  <si>
    <t>2.2</t>
  </si>
  <si>
    <t>2.3</t>
  </si>
  <si>
    <t>2.4</t>
  </si>
  <si>
    <t>2.5</t>
  </si>
  <si>
    <t>Grapa galvanizada 1 1/2"</t>
  </si>
  <si>
    <t>2.6</t>
  </si>
  <si>
    <t>2.7</t>
  </si>
  <si>
    <t>LETRERO INFORMATIVO</t>
  </si>
  <si>
    <t>1.2</t>
  </si>
  <si>
    <t>1.3</t>
  </si>
  <si>
    <t>1.4</t>
  </si>
  <si>
    <t xml:space="preserve">UBICACIÓN </t>
  </si>
  <si>
    <t>REPOSICIÓN Y REPARACIÓN DE CERCO</t>
  </si>
  <si>
    <t>ML</t>
  </si>
  <si>
    <t>KG</t>
  </si>
  <si>
    <t>Malla Galvanizada 1,2 altura, de 60x60mm por 25 metros</t>
  </si>
  <si>
    <t>alambre de púas N° 16</t>
  </si>
  <si>
    <t>: 15-07-2026</t>
  </si>
  <si>
    <t>1.1</t>
  </si>
  <si>
    <t>MANO DE OBRA</t>
  </si>
  <si>
    <t>3.1</t>
  </si>
  <si>
    <t>Jornal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</si>
</sst>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ourier New"/>
      <family val="3"/>
    </font>
    <font>
      <b/>
      <sz val="11"/>
      <color theme="1"/>
      <name val="gobCL"/>
      <family val="3"/>
    </font>
    <font>
      <b/>
      <sz val="11"/>
      <color theme="1"/>
      <name val="gobCL"/>
    </font>
    <font>
      <b/>
      <sz val="11"/>
      <color theme="1"/>
      <name val="Calibri"/>
      <family val="2"/>
      <scheme val="minor"/>
    </font>
    <font>
      <b/>
      <sz val="11"/>
      <color theme="0"/>
      <name val="gobCL"/>
      <family val="3"/>
    </font>
    <font>
      <b/>
      <sz val="11"/>
      <color theme="0"/>
      <name val="Courier New"/>
      <family val="3"/>
    </font>
    <font>
      <b/>
      <sz val="16"/>
      <color theme="0"/>
      <name val="gobCL"/>
      <family val="3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70C0"/>
        <bgColor theme="0"/>
      </patternFill>
    </fill>
    <fill>
      <patternFill patternType="solid">
        <fgColor theme="0" tint="-0.14999847407452621"/>
        <bgColor theme="0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3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/>
    <xf numFmtId="3" fontId="3" fillId="2" borderId="0" xfId="0" applyNumberFormat="1" applyFont="1" applyFill="1" applyAlignment="1">
      <alignment vertical="center"/>
    </xf>
    <xf numFmtId="0" fontId="5" fillId="2" borderId="0" xfId="0" applyFont="1" applyFill="1"/>
    <xf numFmtId="0" fontId="2" fillId="2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vertical="center"/>
    </xf>
    <xf numFmtId="0" fontId="2" fillId="2" borderId="6" xfId="0" applyFont="1" applyFill="1" applyBorder="1" applyAlignment="1">
      <alignment horizontal="center" vertical="center"/>
    </xf>
    <xf numFmtId="17" fontId="3" fillId="2" borderId="0" xfId="0" applyNumberFormat="1" applyFont="1" applyFill="1" applyAlignment="1">
      <alignment horizontal="left" vertical="center"/>
    </xf>
    <xf numFmtId="0" fontId="2" fillId="2" borderId="7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17" fontId="3" fillId="2" borderId="8" xfId="0" applyNumberFormat="1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vertical="center"/>
    </xf>
    <xf numFmtId="0" fontId="7" fillId="3" borderId="1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vertical="center"/>
    </xf>
    <xf numFmtId="0" fontId="3" fillId="2" borderId="11" xfId="0" applyFont="1" applyFill="1" applyBorder="1" applyAlignment="1">
      <alignment vertical="center"/>
    </xf>
    <xf numFmtId="4" fontId="2" fillId="2" borderId="1" xfId="0" applyNumberFormat="1" applyFont="1" applyFill="1" applyBorder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vertical="center"/>
    </xf>
    <xf numFmtId="0" fontId="6" fillId="3" borderId="11" xfId="0" applyFont="1" applyFill="1" applyBorder="1" applyAlignment="1">
      <alignment vertical="center"/>
    </xf>
    <xf numFmtId="4" fontId="7" fillId="3" borderId="1" xfId="0" applyNumberFormat="1" applyFont="1" applyFill="1" applyBorder="1" applyAlignment="1">
      <alignment vertical="center"/>
    </xf>
    <xf numFmtId="3" fontId="7" fillId="3" borderId="1" xfId="0" applyNumberFormat="1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3" fontId="2" fillId="4" borderId="1" xfId="0" applyNumberFormat="1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vertical="center"/>
    </xf>
    <xf numFmtId="0" fontId="3" fillId="4" borderId="11" xfId="0" applyFont="1" applyFill="1" applyBorder="1" applyAlignme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0" fillId="5" borderId="0" xfId="0" applyFill="1"/>
    <xf numFmtId="0" fontId="3" fillId="2" borderId="10" xfId="0" applyFont="1" applyFill="1" applyBorder="1" applyAlignment="1">
      <alignment horizontal="left" vertical="center" wrapText="1"/>
    </xf>
    <xf numFmtId="0" fontId="3" fillId="2" borderId="10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2" fillId="2" borderId="10" xfId="0" applyFont="1" applyFill="1" applyBorder="1" applyAlignment="1">
      <alignment horizontal="left" vertical="center"/>
    </xf>
    <xf numFmtId="0" fontId="2" fillId="2" borderId="11" xfId="0" applyFont="1" applyFill="1" applyBorder="1" applyAlignment="1">
      <alignment horizontal="left" vertical="center"/>
    </xf>
    <xf numFmtId="0" fontId="2" fillId="4" borderId="10" xfId="0" applyFont="1" applyFill="1" applyBorder="1" applyAlignment="1">
      <alignment horizontal="left" vertical="center"/>
    </xf>
    <xf numFmtId="0" fontId="2" fillId="4" borderId="1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3" fillId="2" borderId="10" xfId="0" applyFont="1" applyFill="1" applyBorder="1" applyAlignment="1">
      <alignment horizontal="left" vertical="center"/>
    </xf>
    <xf numFmtId="0" fontId="3" fillId="2" borderId="1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57"/>
  <sheetViews>
    <sheetView tabSelected="1" topLeftCell="B1" zoomScale="130" zoomScaleNormal="130" workbookViewId="0">
      <selection activeCell="O12" sqref="O12"/>
    </sheetView>
  </sheetViews>
  <sheetFormatPr baseColWidth="10" defaultRowHeight="15"/>
  <cols>
    <col min="1" max="1" width="7.85546875" customWidth="1"/>
    <col min="2" max="2" width="44.140625" customWidth="1"/>
    <col min="3" max="3" width="23.5703125" customWidth="1"/>
    <col min="4" max="4" width="8.85546875" bestFit="1" customWidth="1"/>
    <col min="6" max="6" width="13.85546875" customWidth="1"/>
    <col min="7" max="7" width="14.5703125" customWidth="1"/>
  </cols>
  <sheetData>
    <row r="1" spans="1:7">
      <c r="A1" s="4"/>
      <c r="B1" s="4"/>
      <c r="C1" s="4"/>
      <c r="D1" s="4"/>
      <c r="E1" s="4"/>
      <c r="F1" s="4"/>
      <c r="G1" s="4"/>
    </row>
    <row r="2" spans="1:7" ht="21">
      <c r="A2" s="43" t="s">
        <v>17</v>
      </c>
      <c r="B2" s="44"/>
      <c r="C2" s="44"/>
      <c r="D2" s="44"/>
      <c r="E2" s="44"/>
      <c r="F2" s="44"/>
      <c r="G2" s="45"/>
    </row>
    <row r="3" spans="1:7" ht="15.75" customHeight="1">
      <c r="A3" s="9"/>
      <c r="B3" s="51" t="s">
        <v>0</v>
      </c>
      <c r="C3" s="48" t="s">
        <v>27</v>
      </c>
      <c r="D3" s="49"/>
      <c r="E3" s="49"/>
      <c r="F3" s="49"/>
      <c r="G3" s="50"/>
    </row>
    <row r="4" spans="1:7" ht="15.75" customHeight="1">
      <c r="A4" s="9"/>
      <c r="B4" s="51"/>
      <c r="C4" s="48"/>
      <c r="D4" s="49"/>
      <c r="E4" s="49"/>
      <c r="F4" s="49"/>
      <c r="G4" s="50"/>
    </row>
    <row r="5" spans="1:7" ht="15.75" customHeight="1">
      <c r="A5" s="9"/>
      <c r="B5" s="51"/>
      <c r="C5" s="48"/>
      <c r="D5" s="49"/>
      <c r="E5" s="49"/>
      <c r="F5" s="49"/>
      <c r="G5" s="50"/>
    </row>
    <row r="6" spans="1:7" ht="22.5" customHeight="1">
      <c r="A6" s="9"/>
      <c r="B6" s="52"/>
      <c r="C6" s="49"/>
      <c r="D6" s="49"/>
      <c r="E6" s="49"/>
      <c r="F6" s="49"/>
      <c r="G6" s="50"/>
    </row>
    <row r="7" spans="1:7" ht="15.75">
      <c r="A7" s="9"/>
      <c r="B7" s="1" t="s">
        <v>41</v>
      </c>
      <c r="C7" s="1" t="s">
        <v>25</v>
      </c>
      <c r="D7" s="5"/>
      <c r="E7" s="5"/>
      <c r="F7" s="5"/>
      <c r="G7" s="10"/>
    </row>
    <row r="8" spans="1:7" ht="15.75">
      <c r="A8" s="9"/>
      <c r="B8" s="1" t="s">
        <v>1</v>
      </c>
      <c r="C8" s="1" t="s">
        <v>8</v>
      </c>
      <c r="D8" s="5"/>
      <c r="E8" s="5"/>
      <c r="F8" s="5"/>
      <c r="G8" s="10"/>
    </row>
    <row r="9" spans="1:7" ht="15.75">
      <c r="A9" s="9"/>
      <c r="B9" s="1" t="s">
        <v>2</v>
      </c>
      <c r="C9" s="11" t="s">
        <v>47</v>
      </c>
      <c r="D9" s="5"/>
      <c r="E9" s="5"/>
      <c r="F9" s="5"/>
      <c r="G9" s="10"/>
    </row>
    <row r="10" spans="1:7" ht="15.75">
      <c r="A10" s="12"/>
      <c r="B10" s="13" t="s">
        <v>9</v>
      </c>
      <c r="C10" s="14" t="s">
        <v>26</v>
      </c>
      <c r="D10" s="15"/>
      <c r="E10" s="15"/>
      <c r="F10" s="16"/>
      <c r="G10" s="17"/>
    </row>
    <row r="11" spans="1:7">
      <c r="A11" s="5"/>
      <c r="B11" s="5"/>
      <c r="C11" s="5"/>
      <c r="D11" s="5"/>
      <c r="E11" s="5"/>
      <c r="F11" s="5"/>
      <c r="G11" s="5"/>
    </row>
    <row r="12" spans="1:7" ht="55.5" customHeight="1">
      <c r="A12" s="34" t="s">
        <v>3</v>
      </c>
      <c r="B12" s="46" t="s">
        <v>4</v>
      </c>
      <c r="C12" s="47"/>
      <c r="D12" s="34" t="s">
        <v>5</v>
      </c>
      <c r="E12" s="34" t="s">
        <v>6</v>
      </c>
      <c r="F12" s="34" t="s">
        <v>23</v>
      </c>
      <c r="G12" s="34" t="s">
        <v>11</v>
      </c>
    </row>
    <row r="13" spans="1:7" s="38" customFormat="1"/>
    <row r="14" spans="1:7" s="38" customFormat="1" ht="15.75">
      <c r="A14" s="29">
        <v>1</v>
      </c>
      <c r="B14" s="55" t="s">
        <v>42</v>
      </c>
      <c r="C14" s="56"/>
      <c r="D14" s="29"/>
      <c r="E14" s="29"/>
      <c r="F14" s="42"/>
      <c r="G14" s="30"/>
    </row>
    <row r="15" spans="1:7" s="38" customFormat="1" ht="15.75">
      <c r="A15" s="18" t="s">
        <v>48</v>
      </c>
      <c r="B15" s="57" t="s">
        <v>29</v>
      </c>
      <c r="C15" s="57"/>
      <c r="D15" s="18" t="s">
        <v>13</v>
      </c>
      <c r="E15" s="8">
        <v>10</v>
      </c>
      <c r="F15" s="19">
        <v>5000</v>
      </c>
      <c r="G15" s="19">
        <f>+E15*F15</f>
        <v>50000</v>
      </c>
    </row>
    <row r="16" spans="1:7" s="38" customFormat="1" ht="15.75">
      <c r="A16" s="18" t="s">
        <v>38</v>
      </c>
      <c r="B16" s="57" t="s">
        <v>45</v>
      </c>
      <c r="C16" s="58"/>
      <c r="D16" s="18" t="s">
        <v>13</v>
      </c>
      <c r="E16" s="8">
        <v>1</v>
      </c>
      <c r="F16" s="19">
        <v>60000</v>
      </c>
      <c r="G16" s="19">
        <f t="shared" ref="G16:G18" si="0">+E16*F16</f>
        <v>60000</v>
      </c>
    </row>
    <row r="17" spans="1:7" s="38" customFormat="1" ht="15.75" customHeight="1">
      <c r="A17" s="18" t="s">
        <v>39</v>
      </c>
      <c r="B17" s="57" t="s">
        <v>46</v>
      </c>
      <c r="C17" s="57"/>
      <c r="D17" s="18" t="s">
        <v>43</v>
      </c>
      <c r="E17" s="8">
        <v>100</v>
      </c>
      <c r="F17" s="19">
        <v>200</v>
      </c>
      <c r="G17" s="19">
        <f t="shared" si="0"/>
        <v>20000</v>
      </c>
    </row>
    <row r="18" spans="1:7" s="38" customFormat="1" ht="15.75">
      <c r="A18" s="18" t="s">
        <v>40</v>
      </c>
      <c r="B18" s="59" t="s">
        <v>34</v>
      </c>
      <c r="C18" s="60"/>
      <c r="D18" s="18" t="s">
        <v>44</v>
      </c>
      <c r="E18" s="8">
        <v>3</v>
      </c>
      <c r="F18" s="19">
        <v>5000</v>
      </c>
      <c r="G18" s="19">
        <f t="shared" si="0"/>
        <v>15000</v>
      </c>
    </row>
    <row r="19" spans="1:7" s="38" customFormat="1" ht="15.75">
      <c r="A19" s="8">
        <v>2</v>
      </c>
      <c r="B19" s="53" t="s">
        <v>37</v>
      </c>
      <c r="C19" s="54"/>
    </row>
    <row r="20" spans="1:7" s="38" customFormat="1" ht="15.75">
      <c r="A20" s="8" t="s">
        <v>28</v>
      </c>
      <c r="B20" s="53" t="s">
        <v>14</v>
      </c>
      <c r="C20" s="54"/>
      <c r="D20" s="18" t="s">
        <v>13</v>
      </c>
      <c r="E20" s="8">
        <v>4</v>
      </c>
      <c r="F20" s="19">
        <v>25000</v>
      </c>
      <c r="G20" s="19">
        <v>100000</v>
      </c>
    </row>
    <row r="21" spans="1:7" ht="15.75">
      <c r="A21" s="18" t="s">
        <v>30</v>
      </c>
      <c r="B21" s="39" t="s">
        <v>15</v>
      </c>
      <c r="C21" s="35"/>
      <c r="D21" s="18" t="s">
        <v>13</v>
      </c>
      <c r="E21" s="8">
        <v>4</v>
      </c>
      <c r="F21" s="19">
        <v>50000</v>
      </c>
      <c r="G21" s="19">
        <v>200000</v>
      </c>
    </row>
    <row r="22" spans="1:7" ht="15" customHeight="1">
      <c r="A22" s="18" t="s">
        <v>31</v>
      </c>
      <c r="B22" s="40" t="s">
        <v>16</v>
      </c>
      <c r="C22" s="35"/>
      <c r="D22" s="18" t="s">
        <v>44</v>
      </c>
      <c r="E22" s="8">
        <v>20</v>
      </c>
      <c r="F22" s="19">
        <v>5000</v>
      </c>
      <c r="G22" s="19">
        <v>100000</v>
      </c>
    </row>
    <row r="23" spans="1:7" ht="13.5" customHeight="1">
      <c r="A23" s="18" t="s">
        <v>32</v>
      </c>
      <c r="B23" s="21" t="s">
        <v>20</v>
      </c>
      <c r="C23" s="22"/>
      <c r="D23" s="18" t="s">
        <v>13</v>
      </c>
      <c r="E23" s="8">
        <v>2</v>
      </c>
      <c r="F23" s="19">
        <v>50000</v>
      </c>
      <c r="G23" s="19">
        <v>100000</v>
      </c>
    </row>
    <row r="24" spans="1:7" ht="15.75">
      <c r="A24" s="18" t="s">
        <v>33</v>
      </c>
      <c r="B24" s="21" t="s">
        <v>24</v>
      </c>
      <c r="C24" s="38"/>
      <c r="D24" s="18" t="s">
        <v>13</v>
      </c>
      <c r="E24" s="8">
        <v>1</v>
      </c>
      <c r="F24" s="41">
        <v>250000</v>
      </c>
      <c r="G24" s="41">
        <v>250000</v>
      </c>
    </row>
    <row r="25" spans="1:7" ht="16.5" customHeight="1">
      <c r="A25" s="18" t="s">
        <v>35</v>
      </c>
      <c r="B25" s="21" t="s">
        <v>18</v>
      </c>
      <c r="C25" s="35"/>
      <c r="D25" s="18" t="s">
        <v>13</v>
      </c>
      <c r="E25" s="8">
        <v>100</v>
      </c>
      <c r="F25" s="41">
        <v>100</v>
      </c>
      <c r="G25" s="41">
        <v>10000</v>
      </c>
    </row>
    <row r="26" spans="1:7" ht="16.5" customHeight="1">
      <c r="A26" s="18" t="s">
        <v>36</v>
      </c>
      <c r="B26" s="21" t="s">
        <v>19</v>
      </c>
      <c r="C26" s="35"/>
      <c r="D26" s="18" t="s">
        <v>13</v>
      </c>
      <c r="E26" s="8">
        <v>6</v>
      </c>
      <c r="F26" s="41">
        <v>1500</v>
      </c>
      <c r="G26" s="41">
        <v>9000</v>
      </c>
    </row>
    <row r="27" spans="1:7" ht="16.5" customHeight="1">
      <c r="A27" s="18">
        <v>3</v>
      </c>
      <c r="B27" s="21" t="s">
        <v>49</v>
      </c>
      <c r="C27" s="35"/>
      <c r="D27" s="18"/>
      <c r="E27" s="8"/>
      <c r="F27" s="41"/>
      <c r="G27" s="41"/>
    </row>
    <row r="28" spans="1:7" ht="16.5" customHeight="1">
      <c r="A28" s="18" t="s">
        <v>50</v>
      </c>
      <c r="B28" s="21" t="s">
        <v>51</v>
      </c>
      <c r="C28" s="35"/>
      <c r="D28" s="18" t="s">
        <v>13</v>
      </c>
      <c r="E28" s="8">
        <v>2</v>
      </c>
      <c r="F28" s="41">
        <v>50000</v>
      </c>
      <c r="G28" s="41">
        <v>100000</v>
      </c>
    </row>
    <row r="29" spans="1:7" ht="15.75">
      <c r="A29" s="37"/>
      <c r="B29" s="32" t="s">
        <v>12</v>
      </c>
      <c r="C29" s="33"/>
      <c r="D29" s="31"/>
      <c r="E29" s="29"/>
      <c r="F29" s="30"/>
      <c r="G29" s="30">
        <f>SUM(G15:G28)</f>
        <v>1014000</v>
      </c>
    </row>
    <row r="30" spans="1:7" ht="15.75">
      <c r="A30" s="36"/>
      <c r="B30" s="21"/>
      <c r="C30" s="22"/>
      <c r="D30" s="18"/>
      <c r="E30" s="8"/>
      <c r="F30" s="19"/>
      <c r="G30" s="19"/>
    </row>
    <row r="31" spans="1:7" ht="15.75">
      <c r="A31" s="36"/>
      <c r="B31" s="21" t="s">
        <v>22</v>
      </c>
      <c r="C31" s="22"/>
      <c r="D31" s="18" t="s">
        <v>7</v>
      </c>
      <c r="E31" s="8">
        <v>1</v>
      </c>
      <c r="F31" s="19"/>
      <c r="G31" s="19">
        <v>101400</v>
      </c>
    </row>
    <row r="32" spans="1:7" ht="15.75">
      <c r="A32" s="36"/>
      <c r="B32" s="57" t="s">
        <v>21</v>
      </c>
      <c r="C32" s="57"/>
      <c r="D32" s="18" t="s">
        <v>7</v>
      </c>
      <c r="E32" s="8">
        <v>1</v>
      </c>
      <c r="F32" s="23"/>
      <c r="G32" s="19">
        <v>202800</v>
      </c>
    </row>
    <row r="33" spans="1:7" ht="15.75">
      <c r="A33" s="18"/>
      <c r="B33" s="21"/>
      <c r="C33" s="22"/>
      <c r="D33" s="18"/>
      <c r="E33" s="8"/>
      <c r="F33" s="23"/>
      <c r="G33" s="19"/>
    </row>
    <row r="34" spans="1:7" ht="15.75">
      <c r="A34" s="24"/>
      <c r="B34" s="25" t="s">
        <v>10</v>
      </c>
      <c r="C34" s="26"/>
      <c r="D34" s="24"/>
      <c r="E34" s="20"/>
      <c r="F34" s="27"/>
      <c r="G34" s="28">
        <f>+G32+G29+G31</f>
        <v>1318200</v>
      </c>
    </row>
    <row r="35" spans="1:7" ht="15.75">
      <c r="A35" s="4"/>
      <c r="B35" s="4"/>
      <c r="C35" s="4"/>
      <c r="D35" s="1"/>
      <c r="E35" s="2"/>
      <c r="F35" s="3"/>
      <c r="G35" s="6"/>
    </row>
    <row r="36" spans="1:7">
      <c r="A36" s="4"/>
      <c r="B36" s="7"/>
      <c r="C36" s="4"/>
      <c r="D36" s="4"/>
      <c r="E36" s="4"/>
      <c r="F36" s="4"/>
      <c r="G36" s="4"/>
    </row>
    <row r="37" spans="1:7">
      <c r="A37" s="4"/>
      <c r="B37" s="4"/>
      <c r="C37" s="4"/>
      <c r="D37" s="4"/>
      <c r="E37" s="4"/>
      <c r="F37" s="4"/>
      <c r="G37" s="4"/>
    </row>
    <row r="38" spans="1:7">
      <c r="A38" s="4"/>
      <c r="B38" s="4"/>
      <c r="C38" s="4"/>
      <c r="D38" s="4"/>
      <c r="E38" s="4"/>
      <c r="F38" s="4"/>
      <c r="G38" s="4"/>
    </row>
    <row r="39" spans="1:7">
      <c r="A39" s="4"/>
      <c r="B39" s="4"/>
      <c r="C39" s="4"/>
      <c r="D39" s="4"/>
      <c r="E39" s="4"/>
      <c r="F39" s="4"/>
      <c r="G39" s="4"/>
    </row>
    <row r="40" spans="1:7">
      <c r="A40" s="4"/>
      <c r="B40" s="4"/>
      <c r="C40" s="4"/>
      <c r="D40" s="4"/>
      <c r="E40" s="4"/>
      <c r="F40" s="4"/>
      <c r="G40" s="4"/>
    </row>
    <row r="41" spans="1:7">
      <c r="A41" s="4"/>
      <c r="B41" s="4"/>
      <c r="C41" s="4"/>
      <c r="D41" s="4"/>
      <c r="E41" s="4"/>
      <c r="F41" s="4"/>
      <c r="G41" s="4"/>
    </row>
    <row r="42" spans="1:7">
      <c r="A42" s="4"/>
      <c r="B42" s="4"/>
      <c r="C42" s="4"/>
      <c r="D42" s="4"/>
      <c r="E42" s="4"/>
      <c r="F42" s="4"/>
      <c r="G42" s="4"/>
    </row>
    <row r="43" spans="1:7">
      <c r="A43" s="4"/>
      <c r="B43" s="4"/>
      <c r="C43" s="4"/>
      <c r="D43" s="4"/>
      <c r="E43" s="4"/>
      <c r="F43" s="4"/>
      <c r="G43" s="4"/>
    </row>
    <row r="44" spans="1:7">
      <c r="A44" s="4"/>
      <c r="B44" s="4"/>
      <c r="C44" s="4"/>
      <c r="D44" s="4"/>
      <c r="E44" s="4"/>
      <c r="F44" s="4"/>
      <c r="G44" s="4"/>
    </row>
    <row r="45" spans="1:7">
      <c r="A45" s="4"/>
      <c r="B45" s="4"/>
      <c r="C45" s="4"/>
      <c r="D45" s="4"/>
      <c r="E45" s="4"/>
      <c r="F45" s="4"/>
      <c r="G45" s="4"/>
    </row>
    <row r="46" spans="1:7">
      <c r="A46" s="4"/>
      <c r="B46" s="4"/>
      <c r="C46" s="4"/>
      <c r="D46" s="4"/>
      <c r="E46" s="4"/>
      <c r="F46" s="4"/>
      <c r="G46" s="4"/>
    </row>
    <row r="47" spans="1:7">
      <c r="A47" s="4"/>
      <c r="B47" s="4"/>
      <c r="C47" s="4"/>
      <c r="D47" s="4"/>
      <c r="E47" s="4"/>
      <c r="F47" s="4"/>
      <c r="G47" s="4"/>
    </row>
    <row r="48" spans="1:7">
      <c r="A48" s="4"/>
      <c r="B48" s="4"/>
      <c r="C48" s="4"/>
      <c r="D48" s="4"/>
      <c r="E48" s="4"/>
      <c r="F48" s="4"/>
      <c r="G48" s="4"/>
    </row>
    <row r="49" spans="1:7">
      <c r="A49" s="4"/>
      <c r="B49" s="4"/>
      <c r="C49" s="4"/>
      <c r="D49" s="4"/>
      <c r="E49" s="4"/>
      <c r="F49" s="4"/>
      <c r="G49" s="4"/>
    </row>
    <row r="50" spans="1:7">
      <c r="A50" s="4"/>
      <c r="B50" s="4"/>
      <c r="C50" s="4"/>
      <c r="D50" s="4"/>
      <c r="E50" s="4"/>
      <c r="F50" s="4"/>
      <c r="G50" s="4"/>
    </row>
    <row r="51" spans="1:7">
      <c r="A51" s="4"/>
      <c r="B51" s="4"/>
      <c r="C51" s="4"/>
      <c r="D51" s="4"/>
      <c r="E51" s="4"/>
      <c r="F51" s="4"/>
      <c r="G51" s="4"/>
    </row>
    <row r="52" spans="1:7">
      <c r="A52" s="4"/>
      <c r="B52" s="4"/>
      <c r="C52" s="4"/>
      <c r="D52" s="4"/>
      <c r="E52" s="4"/>
      <c r="F52" s="4"/>
      <c r="G52" s="4"/>
    </row>
    <row r="53" spans="1:7">
      <c r="A53" s="4"/>
      <c r="B53" s="4"/>
      <c r="C53" s="4"/>
      <c r="D53" s="4"/>
      <c r="E53" s="4"/>
      <c r="F53" s="4"/>
      <c r="G53" s="4"/>
    </row>
    <row r="54" spans="1:7">
      <c r="A54" s="4"/>
      <c r="B54" s="4"/>
      <c r="C54" s="4"/>
      <c r="D54" s="4"/>
      <c r="E54" s="4"/>
      <c r="F54" s="4"/>
      <c r="G54" s="4"/>
    </row>
    <row r="55" spans="1:7">
      <c r="A55" s="4"/>
      <c r="B55" s="4"/>
      <c r="C55" s="4"/>
      <c r="D55" s="4"/>
      <c r="E55" s="4"/>
      <c r="F55" s="4"/>
      <c r="G55" s="4"/>
    </row>
    <row r="56" spans="1:7">
      <c r="A56" s="4"/>
      <c r="B56" s="4"/>
      <c r="C56" s="4"/>
      <c r="D56" s="4"/>
      <c r="E56" s="4"/>
      <c r="F56" s="4"/>
      <c r="G56" s="4"/>
    </row>
    <row r="57" spans="1:7">
      <c r="A57" s="4"/>
      <c r="B57" s="4"/>
      <c r="C57" s="4"/>
      <c r="D57" s="4"/>
      <c r="E57" s="4"/>
      <c r="F57" s="4"/>
      <c r="G57" s="4"/>
    </row>
  </sheetData>
  <mergeCells count="12">
    <mergeCell ref="B32:C32"/>
    <mergeCell ref="A2:G2"/>
    <mergeCell ref="B12:C12"/>
    <mergeCell ref="C3:G6"/>
    <mergeCell ref="B3:B6"/>
    <mergeCell ref="B20:C20"/>
    <mergeCell ref="B14:C14"/>
    <mergeCell ref="B15:C15"/>
    <mergeCell ref="B16:C16"/>
    <mergeCell ref="B17:C17"/>
    <mergeCell ref="B18:C18"/>
    <mergeCell ref="B19:C19"/>
  </mergeCells>
  <pageMargins left="0.7" right="0.7" top="0.75" bottom="0.75" header="0.3" footer="0.3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>Ministerio de Vivienda y Urbanismo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Angelica Sandoval Ramos</dc:creator>
  <cp:lastModifiedBy>Jeanette Nenen Rebolledo</cp:lastModifiedBy>
  <cp:lastPrinted>2024-11-12T13:18:10Z</cp:lastPrinted>
  <dcterms:created xsi:type="dcterms:W3CDTF">2021-08-30T13:18:56Z</dcterms:created>
  <dcterms:modified xsi:type="dcterms:W3CDTF">2026-07-20T15:13:14Z</dcterms:modified>
</cp:coreProperties>
</file>