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4A5C98F-55A9-42BC-9019-911850A0129D}" xr6:coauthVersionLast="47" xr6:coauthVersionMax="47" xr10:uidLastSave="{00000000-0000-0000-0000-000000000000}"/>
  <bookViews>
    <workbookView xWindow="-120" yWindow="-120" windowWidth="29040" windowHeight="15720" xr2:uid="{22B2BDEB-1D7F-4AE7-8D57-01CAD20A4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7" i="1"/>
  <c r="G9" i="1" l="1"/>
  <c r="G10" i="1" l="1"/>
  <c r="G11" i="1"/>
  <c r="G12" i="1" l="1"/>
  <c r="G13" i="1" l="1"/>
  <c r="G14" i="1" s="1"/>
</calcChain>
</file>

<file path=xl/sharedStrings.xml><?xml version="1.0" encoding="utf-8"?>
<sst xmlns="http://schemas.openxmlformats.org/spreadsheetml/2006/main" count="20" uniqueCount="19">
  <si>
    <r>
      <t xml:space="preserve">                                                                   </t>
    </r>
    <r>
      <rPr>
        <b/>
        <sz val="10"/>
        <color theme="1" tint="4.9989318521683403E-2"/>
        <rFont val="Aptos Narrow"/>
        <family val="2"/>
        <scheme val="minor"/>
      </rPr>
      <t xml:space="preserve">P R E S U P U E S T O  </t>
    </r>
  </si>
  <si>
    <r>
      <t xml:space="preserve">              </t>
    </r>
    <r>
      <rPr>
        <sz val="10"/>
        <color theme="1" tint="4.9989318521683403E-2"/>
        <rFont val="Century Gothic"/>
        <family val="2"/>
      </rPr>
      <t xml:space="preserve">Proyecto </t>
    </r>
    <r>
      <rPr>
        <sz val="10"/>
        <color theme="1" tint="4.9989318521683403E-2"/>
        <rFont val="Aptos Narrow"/>
        <family val="2"/>
        <scheme val="minor"/>
      </rPr>
      <t xml:space="preserve">  : </t>
    </r>
    <r>
      <rPr>
        <b/>
        <sz val="10"/>
        <color theme="1" tint="4.9989318521683403E-2"/>
        <rFont val="Aptos Narrow"/>
        <family val="2"/>
        <scheme val="minor"/>
      </rPr>
      <t xml:space="preserve">"REPARACIONES TECHADO HERMANOS GUEVARA COMUNA DE FREIRINA" </t>
    </r>
  </si>
  <si>
    <r>
      <t xml:space="preserve">              </t>
    </r>
    <r>
      <rPr>
        <sz val="10"/>
        <color theme="1" tint="4.9989318521683403E-2"/>
        <rFont val="Century Gothic"/>
        <family val="2"/>
      </rPr>
      <t xml:space="preserve">Fecha        : </t>
    </r>
    <r>
      <rPr>
        <b/>
        <sz val="10"/>
        <color theme="1" tint="4.9989318521683403E-2"/>
        <rFont val="Aptos Narrow"/>
        <family val="2"/>
        <scheme val="minor"/>
      </rPr>
      <t>JUNIO 2026</t>
    </r>
  </si>
  <si>
    <r>
      <t xml:space="preserve">             </t>
    </r>
    <r>
      <rPr>
        <b/>
        <sz val="14"/>
        <color theme="1" tint="4.9989318521683403E-2"/>
        <rFont val="Century Gothic"/>
        <family val="2"/>
      </rPr>
      <t xml:space="preserve"> </t>
    </r>
    <r>
      <rPr>
        <sz val="10"/>
        <color theme="1" tint="4.9989318521683403E-2"/>
        <rFont val="Century Gothic"/>
        <family val="2"/>
      </rPr>
      <t>Mandante</t>
    </r>
    <r>
      <rPr>
        <sz val="10"/>
        <color theme="1" tint="4.9989318521683403E-2"/>
        <rFont val="Aptos Narrow"/>
        <family val="2"/>
        <scheme val="minor"/>
      </rPr>
      <t xml:space="preserve">: </t>
    </r>
    <r>
      <rPr>
        <b/>
        <sz val="10"/>
        <color theme="1" tint="4.9989318521683403E-2"/>
        <rFont val="Aptos Narrow"/>
        <family val="2"/>
        <scheme val="minor"/>
      </rPr>
      <t>ILUSTRE MUNICIPALIDAD DE FREIRINA</t>
    </r>
  </si>
  <si>
    <t xml:space="preserve">ITEM </t>
  </si>
  <si>
    <t>DESCRIPCION</t>
  </si>
  <si>
    <t>UNIDAD</t>
  </si>
  <si>
    <t>CANTIDAD</t>
  </si>
  <si>
    <t>P. UNITARIO</t>
  </si>
  <si>
    <t xml:space="preserve">TOTAL </t>
  </si>
  <si>
    <t>gl</t>
  </si>
  <si>
    <t>Subtotal</t>
  </si>
  <si>
    <t>G.G</t>
  </si>
  <si>
    <t>Utilidades</t>
  </si>
  <si>
    <t>Subtotal Neto</t>
  </si>
  <si>
    <t>I.V.A</t>
  </si>
  <si>
    <t>TOTAL</t>
  </si>
  <si>
    <t>Limpieza general exterior 350m2</t>
  </si>
  <si>
    <t xml:space="preserve">Limpieza interior camarines 50m2 (pasillo , baños y bodega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</si>
</sst>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  <font>
      <sz val="10"/>
      <color theme="1" tint="4.9989318521683403E-2"/>
      <name val="Century Gothic"/>
      <family val="2"/>
    </font>
    <font>
      <sz val="10"/>
      <color theme="1" tint="4.9989318521683403E-2"/>
      <name val="Aptos Narrow"/>
      <family val="2"/>
      <scheme val="minor"/>
    </font>
    <font>
      <b/>
      <sz val="14"/>
      <color theme="1" tint="4.9989318521683403E-2"/>
      <name val="Century Gothic"/>
      <family val="2"/>
    </font>
    <font>
      <b/>
      <sz val="9"/>
      <color theme="1"/>
      <name val="Aptos Narrow"/>
      <family val="2"/>
      <scheme val="minor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1CFCA"/>
        <bgColor rgb="FFFFD966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/>
    <xf numFmtId="0" fontId="8" fillId="3" borderId="14" xfId="0" applyFont="1" applyFill="1" applyBorder="1" applyAlignment="1">
      <alignment horizontal="center"/>
    </xf>
    <xf numFmtId="164" fontId="8" fillId="3" borderId="14" xfId="0" applyNumberFormat="1" applyFont="1" applyFill="1" applyBorder="1"/>
    <xf numFmtId="16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Font="1" applyFill="1" applyBorder="1" applyAlignment="1">
      <alignment horizontal="center"/>
    </xf>
    <xf numFmtId="164" fontId="8" fillId="3" borderId="16" xfId="0" applyNumberFormat="1" applyFont="1" applyFill="1" applyBorder="1"/>
    <xf numFmtId="164" fontId="8" fillId="3" borderId="17" xfId="0" applyNumberFormat="1" applyFont="1" applyFill="1" applyBorder="1"/>
    <xf numFmtId="0" fontId="9" fillId="4" borderId="13" xfId="0" applyFont="1" applyFill="1" applyBorder="1"/>
    <xf numFmtId="9" fontId="9" fillId="4" borderId="19" xfId="0" applyNumberFormat="1" applyFont="1" applyFill="1" applyBorder="1" applyAlignment="1">
      <alignment horizontal="right"/>
    </xf>
    <xf numFmtId="164" fontId="9" fillId="4" borderId="20" xfId="1" applyNumberFormat="1" applyFont="1" applyFill="1" applyBorder="1" applyAlignment="1">
      <alignment horizontal="right"/>
    </xf>
    <xf numFmtId="0" fontId="9" fillId="0" borderId="13" xfId="0" applyFont="1" applyBorder="1"/>
    <xf numFmtId="9" fontId="9" fillId="0" borderId="19" xfId="0" applyNumberFormat="1" applyFont="1" applyBorder="1" applyAlignment="1">
      <alignment horizontal="right"/>
    </xf>
    <xf numFmtId="42" fontId="9" fillId="0" borderId="20" xfId="1" applyFont="1" applyBorder="1" applyAlignment="1">
      <alignment horizontal="right"/>
    </xf>
    <xf numFmtId="0" fontId="9" fillId="0" borderId="19" xfId="0" applyFont="1" applyBorder="1"/>
    <xf numFmtId="0" fontId="9" fillId="0" borderId="21" xfId="0" applyFont="1" applyBorder="1"/>
    <xf numFmtId="9" fontId="9" fillId="0" borderId="22" xfId="0" applyNumberFormat="1" applyFont="1" applyBorder="1" applyAlignment="1">
      <alignment horizontal="right"/>
    </xf>
    <xf numFmtId="42" fontId="9" fillId="0" borderId="5" xfId="1" applyFont="1" applyBorder="1" applyAlignment="1">
      <alignment horizontal="right"/>
    </xf>
    <xf numFmtId="0" fontId="10" fillId="4" borderId="18" xfId="0" applyFont="1" applyFill="1" applyBorder="1"/>
    <xf numFmtId="0" fontId="11" fillId="4" borderId="23" xfId="0" applyFont="1" applyFill="1" applyBorder="1"/>
    <xf numFmtId="42" fontId="10" fillId="4" borderId="24" xfId="1" applyFont="1" applyFill="1" applyBorder="1" applyAlignment="1">
      <alignment horizontal="right"/>
    </xf>
    <xf numFmtId="0" fontId="8" fillId="3" borderId="25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17461</xdr:colOff>
      <xdr:row>1</xdr:row>
      <xdr:rowOff>24180</xdr:rowOff>
    </xdr:from>
    <xdr:to>
      <xdr:col>2</xdr:col>
      <xdr:colOff>104775</xdr:colOff>
      <xdr:row>4</xdr:row>
      <xdr:rowOff>226855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DB56D7-B7E9-40D2-BD69-368BF7B8D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61" y="224205"/>
          <a:ext cx="849314" cy="92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C467-485C-43BA-965A-33F038374D20}">
  <dimension ref="B1:G14"/>
  <sheetViews>
    <sheetView tabSelected="1" workbookViewId="0">
      <selection activeCell="G15" sqref="G15"/>
    </sheetView>
  </sheetViews>
  <sheetFormatPr baseColWidth="10" defaultRowHeight="15" x14ac:dyDescent="0.25"/>
  <cols>
    <col min="3" max="3" width="52.7109375" customWidth="1"/>
    <col min="5" max="5" width="10.5703125" customWidth="1"/>
    <col min="6" max="6" width="16.85546875" customWidth="1"/>
    <col min="7" max="7" width="16.42578125" customWidth="1"/>
  </cols>
  <sheetData>
    <row r="1" spans="2:7" ht="15.75" thickBot="1" x14ac:dyDescent="0.3"/>
    <row r="2" spans="2:7" ht="19.5" thickBot="1" x14ac:dyDescent="0.3">
      <c r="B2" s="1" t="s">
        <v>0</v>
      </c>
      <c r="C2" s="2"/>
      <c r="D2" s="2"/>
      <c r="E2" s="2"/>
      <c r="F2" s="3"/>
      <c r="G2" s="4"/>
    </row>
    <row r="3" spans="2:7" ht="18.75" x14ac:dyDescent="0.25">
      <c r="B3" s="5"/>
      <c r="C3" s="6" t="s">
        <v>1</v>
      </c>
      <c r="D3" s="6"/>
      <c r="E3" s="6"/>
      <c r="F3" s="7"/>
      <c r="G3" s="8"/>
    </row>
    <row r="4" spans="2:7" ht="18.75" x14ac:dyDescent="0.25">
      <c r="B4" s="5"/>
      <c r="C4" s="6" t="s">
        <v>2</v>
      </c>
      <c r="D4" s="6"/>
      <c r="E4" s="6"/>
      <c r="F4" s="7"/>
      <c r="G4" s="8"/>
    </row>
    <row r="5" spans="2:7" ht="19.5" thickBot="1" x14ac:dyDescent="0.3">
      <c r="B5" s="9"/>
      <c r="C5" s="10" t="s">
        <v>3</v>
      </c>
      <c r="D5" s="10"/>
      <c r="E5" s="10"/>
      <c r="F5" s="11"/>
      <c r="G5" s="12"/>
    </row>
    <row r="6" spans="2:7" ht="15.75" thickBot="1" x14ac:dyDescent="0.3">
      <c r="B6" s="13" t="s">
        <v>4</v>
      </c>
      <c r="C6" s="14" t="s">
        <v>5</v>
      </c>
      <c r="D6" s="15" t="s">
        <v>6</v>
      </c>
      <c r="E6" s="15" t="s">
        <v>7</v>
      </c>
      <c r="F6" s="15" t="s">
        <v>8</v>
      </c>
      <c r="G6" s="16" t="s">
        <v>9</v>
      </c>
    </row>
    <row r="7" spans="2:7" ht="15.75" x14ac:dyDescent="0.3">
      <c r="B7" s="17">
        <v>1.1000000000000001</v>
      </c>
      <c r="C7" s="18" t="s">
        <v>17</v>
      </c>
      <c r="D7" s="19" t="s">
        <v>10</v>
      </c>
      <c r="E7" s="19">
        <v>1</v>
      </c>
      <c r="F7" s="20"/>
      <c r="G7" s="21">
        <f t="shared" ref="G7:G8" si="0">E7*F7</f>
        <v>0</v>
      </c>
    </row>
    <row r="8" spans="2:7" ht="15.75" x14ac:dyDescent="0.3">
      <c r="B8" s="39">
        <v>1.2</v>
      </c>
      <c r="C8" s="22" t="s">
        <v>18</v>
      </c>
      <c r="D8" s="23" t="s">
        <v>10</v>
      </c>
      <c r="E8" s="23">
        <v>1</v>
      </c>
      <c r="F8" s="24"/>
      <c r="G8" s="25">
        <f t="shared" si="0"/>
        <v>0</v>
      </c>
    </row>
    <row r="9" spans="2:7" x14ac:dyDescent="0.25">
      <c r="E9" s="26" t="s">
        <v>11</v>
      </c>
      <c r="F9" s="27"/>
      <c r="G9" s="28">
        <f>SUM(G7:G8)</f>
        <v>0</v>
      </c>
    </row>
    <row r="10" spans="2:7" x14ac:dyDescent="0.25">
      <c r="E10" s="29" t="s">
        <v>12</v>
      </c>
      <c r="F10" s="30">
        <v>0.1</v>
      </c>
      <c r="G10" s="31">
        <f>G9*F10</f>
        <v>0</v>
      </c>
    </row>
    <row r="11" spans="2:7" x14ac:dyDescent="0.25">
      <c r="E11" s="29" t="s">
        <v>13</v>
      </c>
      <c r="F11" s="30">
        <v>0.15</v>
      </c>
      <c r="G11" s="31">
        <f>G9*F11</f>
        <v>0</v>
      </c>
    </row>
    <row r="12" spans="2:7" x14ac:dyDescent="0.25">
      <c r="E12" s="29" t="s">
        <v>14</v>
      </c>
      <c r="F12" s="32"/>
      <c r="G12" s="31">
        <f>G9+G10+G11</f>
        <v>0</v>
      </c>
    </row>
    <row r="13" spans="2:7" x14ac:dyDescent="0.25">
      <c r="E13" s="33" t="s">
        <v>15</v>
      </c>
      <c r="F13" s="34">
        <v>0.19</v>
      </c>
      <c r="G13" s="35">
        <f>G12*F13</f>
        <v>0</v>
      </c>
    </row>
    <row r="14" spans="2:7" ht="17.25" thickBot="1" x14ac:dyDescent="0.35">
      <c r="E14" s="36" t="s">
        <v>16</v>
      </c>
      <c r="F14" s="37"/>
      <c r="G14" s="38">
        <f>G12+G13</f>
        <v>0</v>
      </c>
    </row>
  </sheetData>
  <pageMargins left="0.70866141732283472" right="0.70866141732283472" top="0.74803149606299213" bottom="0.74803149606299213" header="0.31496062992125984" footer="0.31496062992125984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Secpla 2</dc:creator>
  <cp:lastModifiedBy>Secpla 2</cp:lastModifiedBy>
  <cp:lastPrinted>2026-06-18T16:27:59Z</cp:lastPrinted>
  <dcterms:created xsi:type="dcterms:W3CDTF">2026-06-18T15:50:41Z</dcterms:created>
  <dcterms:modified xsi:type="dcterms:W3CDTF">2026-07-01T16:22:16Z</dcterms:modified>
</cp:coreProperties>
</file>