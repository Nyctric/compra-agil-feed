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ibel Colque\Desktop\MEMORANDUMS\MEMO´S 2026\MEMO N°180\"/>
    </mc:Choice>
  </mc:AlternateContent>
  <bookViews>
    <workbookView xWindow="0" yWindow="0" windowWidth="15765" windowHeight="121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" i="1" l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49" i="1" l="1"/>
  <c r="D39" i="1"/>
  <c r="E14" i="1"/>
  <c r="F14" i="1" s="1"/>
  <c r="E6" i="1"/>
  <c r="E3" i="1" l="1"/>
  <c r="E12" i="1" l="1"/>
  <c r="E13" i="1"/>
  <c r="E4" i="1" l="1"/>
  <c r="E5" i="1"/>
  <c r="E8" i="1"/>
  <c r="E9" i="1"/>
  <c r="E10" i="1"/>
  <c r="E11" i="1"/>
  <c r="E7" i="1"/>
  <c r="F7" i="1" s="1"/>
  <c r="D47" i="1" s="1"/>
  <c r="F3" i="1" l="1"/>
  <c r="F8" i="1"/>
  <c r="D48" i="1" s="1"/>
  <c r="D46" i="1" l="1"/>
  <c r="D50" i="1" s="1"/>
  <c r="F15" i="1"/>
  <c r="E42" i="1"/>
  <c r="F42" i="1"/>
</calcChain>
</file>

<file path=xl/sharedStrings.xml><?xml version="1.0" encoding="utf-8"?>
<sst xmlns="http://schemas.openxmlformats.org/spreadsheetml/2006/main" count="72" uniqueCount="60">
  <si>
    <t>GASTO</t>
  </si>
  <si>
    <t>CANTIDAD UNIT</t>
  </si>
  <si>
    <t>TOTAL</t>
  </si>
  <si>
    <t>TIJERON PODEA DE LARGO ALCANCE 25 PULGADAS</t>
  </si>
  <si>
    <t>BOLSA BASURA MEDIANA 10 UNIDADES 70X90 CM</t>
  </si>
  <si>
    <t>BOLSA BASURA PEQUEÑA 10 UNIDADES 50X70 CM</t>
  </si>
  <si>
    <t>BOLSA BASURA CARGA PESADA, 10 UNIDAES 140X160 CM</t>
  </si>
  <si>
    <t>MANGUERAS DE 3/4 REFORZADA EN ROLLO DE 50 METROS</t>
  </si>
  <si>
    <t>TOTALES</t>
  </si>
  <si>
    <t>HERRAMIENTAS</t>
  </si>
  <si>
    <t>ASEO</t>
  </si>
  <si>
    <t>JARDINERIA</t>
  </si>
  <si>
    <t>VALOR TOTAL (IVA INCLUIDO</t>
  </si>
  <si>
    <t>PALA PLÁSTICA PARA ASEO CON MANGO</t>
  </si>
  <si>
    <t>JUSTIFICACIÓN/OBJETIVO  DEL GASTO</t>
  </si>
  <si>
    <t xml:space="preserve">ESCOBILLÓN PELO MEDIO </t>
  </si>
  <si>
    <t>La compra de los materiales de aseo para áreas verdes es fundamental para garantizar su mantenimiento eficiente, la limpieza de los espacios y la correcta gestión de residuos.</t>
  </si>
  <si>
    <t>La adquisición de herramientas para áreas verdes es esencial para garantizar su adecuado mantenimiento, optimizando el trabajo y asegurando espacios limpios y saludables.</t>
  </si>
  <si>
    <t>BOLSA BASURA GRANDE ROLLO 10 UNIDADES 80X110 CM</t>
  </si>
  <si>
    <t>PRECIO UNIT (INCLUIDO IVA</t>
  </si>
  <si>
    <t>BARREHOJAS 22 DIENTES METAL</t>
  </si>
  <si>
    <t>TIJERA BYPASS PARA JARDIN DE ACERO</t>
  </si>
  <si>
    <t>Set  Herramientas Manuales Maletín Portátil</t>
  </si>
  <si>
    <t>Llave de jardin de 1/2</t>
  </si>
  <si>
    <t>ITEM</t>
  </si>
  <si>
    <t>Cantidad</t>
  </si>
  <si>
    <t>Valor Unitario Aproximado</t>
  </si>
  <si>
    <t>Valor Total</t>
  </si>
  <si>
    <t>Rayito de Sol</t>
  </si>
  <si>
    <t>Pennisetum alopecuriodes</t>
  </si>
  <si>
    <t>Pennisetum rubra</t>
  </si>
  <si>
    <t>Stipa Caudata</t>
  </si>
  <si>
    <t>Dimorfoteca - Osteospermun Sp</t>
  </si>
  <si>
    <t>Stipa Tenuissima</t>
  </si>
  <si>
    <t xml:space="preserve">Agapantus </t>
  </si>
  <si>
    <t>Agave</t>
  </si>
  <si>
    <t>Aptenia</t>
  </si>
  <si>
    <t>Gazanias</t>
  </si>
  <si>
    <t>Vervena Chilena</t>
  </si>
  <si>
    <t>Doquilla</t>
  </si>
  <si>
    <t>Lavanda</t>
  </si>
  <si>
    <t>Calendula</t>
  </si>
  <si>
    <t>Romero</t>
  </si>
  <si>
    <t xml:space="preserve">Rosa del Año </t>
  </si>
  <si>
    <t>Membrillo</t>
  </si>
  <si>
    <t>Granado en fruto</t>
  </si>
  <si>
    <t>Azucena</t>
  </si>
  <si>
    <t>Calas</t>
  </si>
  <si>
    <t>Listado de Materiales</t>
  </si>
  <si>
    <t>Para la ornamentación de áreas verdes con el fin de mejorar la estética urbana y promover el uso y bienestar de la comunidad.</t>
  </si>
  <si>
    <t>Listado de plantas para plantar en diversos sectores de la comuna</t>
  </si>
  <si>
    <t>Reemplazo por daño</t>
  </si>
  <si>
    <t>GESTION</t>
  </si>
  <si>
    <t>CUENTA</t>
  </si>
  <si>
    <t>215-22-04-015</t>
  </si>
  <si>
    <t>1-24-5</t>
  </si>
  <si>
    <t>215-22-04-012</t>
  </si>
  <si>
    <t>215-22-04-014</t>
  </si>
  <si>
    <t>TOTAL SOLICITUD</t>
  </si>
  <si>
    <t>215-22-04-007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</si>
</sst>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 &quot;$&quot;* #,##0_ ;_ &quot;$&quot;* \-#,##0_ ;_ &quot;$&quot;* &quot;-&quot;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3"/>
      <color rgb="FF0061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11111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49EE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99FF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3" fillId="3" borderId="0" applyNumberFormat="0" applyBorder="0" applyAlignment="0" applyProtection="0"/>
  </cellStyleXfs>
  <cellXfs count="107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2" fontId="0" fillId="5" borderId="2" xfId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42" fontId="0" fillId="5" borderId="12" xfId="1" applyFont="1" applyFill="1" applyBorder="1" applyAlignment="1">
      <alignment horizontal="center" vertical="center"/>
    </xf>
    <xf numFmtId="1" fontId="0" fillId="5" borderId="11" xfId="1" applyNumberFormat="1" applyFont="1" applyFill="1" applyBorder="1" applyAlignment="1">
      <alignment horizontal="center" vertical="center" wrapText="1"/>
    </xf>
    <xf numFmtId="1" fontId="0" fillId="5" borderId="6" xfId="1" applyNumberFormat="1" applyFont="1" applyFill="1" applyBorder="1" applyAlignment="1">
      <alignment horizontal="center" vertical="center" wrapText="1"/>
    </xf>
    <xf numFmtId="0" fontId="4" fillId="3" borderId="8" xfId="2" applyFont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42" fontId="0" fillId="5" borderId="13" xfId="0" applyNumberFormat="1" applyFont="1" applyFill="1" applyBorder="1" applyAlignment="1">
      <alignment horizontal="center" vertical="center"/>
    </xf>
    <xf numFmtId="42" fontId="0" fillId="5" borderId="14" xfId="0" applyNumberFormat="1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42" fontId="5" fillId="4" borderId="16" xfId="0" applyNumberFormat="1" applyFont="1" applyFill="1" applyBorder="1"/>
    <xf numFmtId="42" fontId="2" fillId="2" borderId="3" xfId="1" applyFont="1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1" fontId="0" fillId="5" borderId="21" xfId="1" applyNumberFormat="1" applyFont="1" applyFill="1" applyBorder="1" applyAlignment="1">
      <alignment horizontal="center" vertical="center" wrapText="1"/>
    </xf>
    <xf numFmtId="42" fontId="0" fillId="5" borderId="25" xfId="1" applyFont="1" applyFill="1" applyBorder="1" applyAlignment="1">
      <alignment horizontal="center" vertical="center"/>
    </xf>
    <xf numFmtId="42" fontId="0" fillId="5" borderId="18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vertical="center"/>
    </xf>
    <xf numFmtId="0" fontId="0" fillId="6" borderId="26" xfId="0" applyFill="1" applyBorder="1" applyAlignment="1">
      <alignment horizontal="center" vertical="center" wrapText="1"/>
    </xf>
    <xf numFmtId="1" fontId="0" fillId="6" borderId="27" xfId="1" applyNumberFormat="1" applyFont="1" applyFill="1" applyBorder="1" applyAlignment="1">
      <alignment horizontal="center" vertical="center" wrapText="1"/>
    </xf>
    <xf numFmtId="42" fontId="0" fillId="6" borderId="28" xfId="1" applyFont="1" applyFill="1" applyBorder="1" applyAlignment="1">
      <alignment horizontal="center" vertical="center"/>
    </xf>
    <xf numFmtId="42" fontId="0" fillId="6" borderId="27" xfId="0" applyNumberFormat="1" applyFont="1" applyFill="1" applyBorder="1" applyAlignment="1">
      <alignment horizontal="center" vertical="center"/>
    </xf>
    <xf numFmtId="42" fontId="2" fillId="6" borderId="8" xfId="0" applyNumberFormat="1" applyFont="1" applyFill="1" applyBorder="1" applyAlignment="1">
      <alignment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2" xfId="0" applyFont="1" applyFill="1" applyBorder="1"/>
    <xf numFmtId="42" fontId="0" fillId="0" borderId="2" xfId="1" applyFont="1" applyBorder="1"/>
    <xf numFmtId="42" fontId="0" fillId="0" borderId="2" xfId="0" applyNumberFormat="1" applyFont="1" applyBorder="1"/>
    <xf numFmtId="0" fontId="6" fillId="0" borderId="2" xfId="0" applyFont="1" applyBorder="1" applyAlignment="1">
      <alignment vertical="center" wrapText="1"/>
    </xf>
    <xf numFmtId="42" fontId="2" fillId="6" borderId="8" xfId="0" applyNumberFormat="1" applyFont="1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1" fontId="0" fillId="7" borderId="9" xfId="1" applyNumberFormat="1" applyFont="1" applyFill="1" applyBorder="1" applyAlignment="1">
      <alignment horizontal="center" vertical="center" wrapText="1"/>
    </xf>
    <xf numFmtId="42" fontId="0" fillId="7" borderId="2" xfId="1" applyFont="1" applyFill="1" applyBorder="1" applyAlignment="1">
      <alignment horizontal="center" vertical="center"/>
    </xf>
    <xf numFmtId="42" fontId="0" fillId="7" borderId="11" xfId="0" applyNumberFormat="1" applyFont="1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 wrapText="1"/>
    </xf>
    <xf numFmtId="42" fontId="0" fillId="7" borderId="6" xfId="0" applyNumberFormat="1" applyFont="1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 wrapText="1"/>
    </xf>
    <xf numFmtId="1" fontId="0" fillId="7" borderId="21" xfId="1" applyNumberFormat="1" applyFont="1" applyFill="1" applyBorder="1" applyAlignment="1">
      <alignment horizontal="center" vertical="center" wrapText="1"/>
    </xf>
    <xf numFmtId="42" fontId="0" fillId="7" borderId="23" xfId="1" applyFont="1" applyFill="1" applyBorder="1" applyAlignment="1">
      <alignment horizontal="center" vertical="center"/>
    </xf>
    <xf numFmtId="42" fontId="0" fillId="7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 wrapText="1"/>
    </xf>
    <xf numFmtId="1" fontId="0" fillId="0" borderId="0" xfId="1" applyNumberFormat="1" applyFont="1" applyFill="1" applyBorder="1" applyAlignment="1">
      <alignment horizontal="center" vertical="center" wrapText="1"/>
    </xf>
    <xf numFmtId="42" fontId="0" fillId="0" borderId="0" xfId="1" applyFont="1" applyFill="1" applyBorder="1" applyAlignment="1">
      <alignment horizontal="center" vertical="center"/>
    </xf>
    <xf numFmtId="42" fontId="0" fillId="0" borderId="0" xfId="0" applyNumberFormat="1" applyFont="1" applyFill="1" applyBorder="1" applyAlignment="1">
      <alignment horizontal="center" vertical="center"/>
    </xf>
    <xf numFmtId="42" fontId="2" fillId="0" borderId="0" xfId="0" applyNumberFormat="1" applyFont="1" applyFill="1" applyBorder="1" applyAlignment="1">
      <alignment vertical="center"/>
    </xf>
    <xf numFmtId="42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ont="1" applyFill="1" applyBorder="1"/>
    <xf numFmtId="42" fontId="0" fillId="0" borderId="0" xfId="1" applyFont="1" applyBorder="1"/>
    <xf numFmtId="42" fontId="0" fillId="0" borderId="0" xfId="0" applyNumberFormat="1" applyFont="1" applyBorder="1"/>
    <xf numFmtId="0" fontId="0" fillId="0" borderId="0" xfId="0" applyFont="1" applyBorder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0" fontId="0" fillId="0" borderId="29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/>
    </xf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9" borderId="15" xfId="0" applyFill="1" applyBorder="1" applyAlignment="1">
      <alignment horizontal="center" vertical="center" wrapText="1"/>
    </xf>
    <xf numFmtId="1" fontId="0" fillId="9" borderId="5" xfId="1" applyNumberFormat="1" applyFont="1" applyFill="1" applyBorder="1" applyAlignment="1">
      <alignment horizontal="center" vertical="center" wrapText="1"/>
    </xf>
    <xf numFmtId="42" fontId="0" fillId="9" borderId="22" xfId="1" applyFont="1" applyFill="1" applyBorder="1" applyAlignment="1">
      <alignment horizontal="center" vertical="center"/>
    </xf>
    <xf numFmtId="42" fontId="0" fillId="9" borderId="15" xfId="0" applyNumberFormat="1" applyFont="1" applyFill="1" applyBorder="1" applyAlignment="1">
      <alignment horizontal="center" vertical="center"/>
    </xf>
    <xf numFmtId="42" fontId="2" fillId="9" borderId="7" xfId="1" applyFont="1" applyFill="1" applyBorder="1" applyAlignment="1">
      <alignment vertical="center" wrapText="1"/>
    </xf>
    <xf numFmtId="42" fontId="0" fillId="0" borderId="0" xfId="1" applyFont="1"/>
    <xf numFmtId="42" fontId="0" fillId="0" borderId="0" xfId="1" applyFont="1" applyFill="1"/>
    <xf numFmtId="0" fontId="2" fillId="8" borderId="2" xfId="0" applyFont="1" applyFill="1" applyBorder="1" applyAlignment="1">
      <alignment horizontal="center" vertical="center" wrapText="1"/>
    </xf>
    <xf numFmtId="42" fontId="2" fillId="8" borderId="2" xfId="1" applyFont="1" applyFill="1" applyBorder="1" applyAlignment="1">
      <alignment horizontal="center" vertical="center" wrapText="1"/>
    </xf>
    <xf numFmtId="0" fontId="2" fillId="0" borderId="2" xfId="0" applyFont="1" applyBorder="1"/>
    <xf numFmtId="42" fontId="2" fillId="0" borderId="2" xfId="1" applyFont="1" applyBorder="1"/>
    <xf numFmtId="0" fontId="2" fillId="9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42" fontId="2" fillId="0" borderId="0" xfId="0" applyNumberFormat="1" applyFont="1"/>
    <xf numFmtId="42" fontId="2" fillId="0" borderId="35" xfId="1" applyFont="1" applyBorder="1"/>
    <xf numFmtId="42" fontId="2" fillId="0" borderId="25" xfId="1" applyFont="1" applyBorder="1" applyAlignment="1">
      <alignment horizontal="center" vertical="center"/>
    </xf>
    <xf numFmtId="42" fontId="2" fillId="0" borderId="34" xfId="1" applyFont="1" applyBorder="1" applyAlignment="1">
      <alignment horizontal="center" vertical="center"/>
    </xf>
    <xf numFmtId="42" fontId="2" fillId="0" borderId="29" xfId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0" fillId="0" borderId="2" xfId="0" applyFont="1" applyBorder="1" applyAlignment="1">
      <alignment horizontal="center" vertical="center" wrapText="1"/>
    </xf>
    <xf numFmtId="42" fontId="2" fillId="5" borderId="1" xfId="0" applyNumberFormat="1" applyFont="1" applyFill="1" applyBorder="1" applyAlignment="1">
      <alignment horizontal="center" vertical="center"/>
    </xf>
    <xf numFmtId="42" fontId="2" fillId="5" borderId="10" xfId="0" applyNumberFormat="1" applyFont="1" applyFill="1" applyBorder="1" applyAlignment="1">
      <alignment horizontal="center" vertical="center"/>
    </xf>
    <xf numFmtId="42" fontId="2" fillId="5" borderId="7" xfId="0" applyNumberFormat="1" applyFont="1" applyFill="1" applyBorder="1" applyAlignment="1">
      <alignment horizontal="center" vertical="center"/>
    </xf>
    <xf numFmtId="42" fontId="2" fillId="5" borderId="1" xfId="0" applyNumberFormat="1" applyFont="1" applyFill="1" applyBorder="1" applyAlignment="1">
      <alignment horizontal="center" vertical="center" wrapText="1"/>
    </xf>
    <xf numFmtId="42" fontId="2" fillId="5" borderId="10" xfId="0" applyNumberFormat="1" applyFont="1" applyFill="1" applyBorder="1" applyAlignment="1">
      <alignment horizontal="center" vertical="center" wrapText="1"/>
    </xf>
    <xf numFmtId="42" fontId="2" fillId="5" borderId="7" xfId="0" applyNumberFormat="1" applyFont="1" applyFill="1" applyBorder="1" applyAlignment="1">
      <alignment horizontal="center" vertical="center" wrapText="1"/>
    </xf>
    <xf numFmtId="42" fontId="2" fillId="7" borderId="1" xfId="1" applyFont="1" applyFill="1" applyBorder="1" applyAlignment="1">
      <alignment horizontal="center" vertical="center" wrapText="1"/>
    </xf>
    <xf numFmtId="42" fontId="2" fillId="7" borderId="10" xfId="1" applyFont="1" applyFill="1" applyBorder="1" applyAlignment="1">
      <alignment horizontal="center" vertical="center" wrapText="1"/>
    </xf>
    <xf numFmtId="42" fontId="2" fillId="7" borderId="7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3">
    <cellStyle name="Bueno" xfId="2" builtinId="26"/>
    <cellStyle name="Moneda [0]" xfId="1" builtinId="7"/>
    <cellStyle name="Normal" xfId="0" builtinId="0"/>
  </cellStyles>
  <dxfs count="0"/>
  <tableStyles count="0" defaultTableStyle="TableStyleMedium2" defaultPivotStyle="PivotStyleLight16"/>
  <colors>
    <mruColors>
      <color rgb="FFCC99FF"/>
      <color rgb="FFF49EE2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0"/>
  <sheetViews>
    <sheetView tabSelected="1" zoomScale="70" zoomScaleNormal="70" workbookViewId="0">
      <selection activeCell="J49" sqref="J49"/>
    </sheetView>
  </sheetViews>
  <sheetFormatPr baseColWidth="10" defaultRowHeight="15" x14ac:dyDescent="0.25"/>
  <cols>
    <col min="1" max="1" width="17.42578125" customWidth="1"/>
    <col min="2" max="2" width="44.140625" customWidth="1"/>
    <col min="3" max="3" width="19.28515625" bestFit="1" customWidth="1"/>
    <col min="4" max="4" width="18.28515625" customWidth="1"/>
    <col min="5" max="5" width="26.42578125" customWidth="1"/>
    <col min="6" max="6" width="16" style="2" bestFit="1" customWidth="1"/>
    <col min="7" max="7" width="36.42578125" customWidth="1"/>
    <col min="8" max="8" width="19.28515625" style="2" bestFit="1" customWidth="1"/>
    <col min="9" max="9" width="19.28515625" bestFit="1" customWidth="1"/>
    <col min="10" max="10" width="23.42578125" bestFit="1" customWidth="1"/>
    <col min="11" max="11" width="23" customWidth="1"/>
    <col min="12" max="12" width="19.7109375" style="69" customWidth="1"/>
    <col min="13" max="13" width="12.85546875" bestFit="1" customWidth="1"/>
  </cols>
  <sheetData>
    <row r="1" spans="1:12" ht="29.25" thickBot="1" x14ac:dyDescent="0.5">
      <c r="B1" s="93" t="s">
        <v>48</v>
      </c>
      <c r="C1" s="94"/>
      <c r="D1" s="94"/>
      <c r="E1" s="94"/>
      <c r="F1" s="94"/>
      <c r="G1" s="95"/>
    </row>
    <row r="2" spans="1:12" s="61" customFormat="1" ht="35.25" thickBot="1" x14ac:dyDescent="0.3">
      <c r="A2" s="60"/>
      <c r="B2" s="4" t="s">
        <v>0</v>
      </c>
      <c r="C2" s="1" t="s">
        <v>1</v>
      </c>
      <c r="D2" s="15" t="s">
        <v>19</v>
      </c>
      <c r="E2" s="8" t="s">
        <v>12</v>
      </c>
      <c r="F2" s="8" t="s">
        <v>8</v>
      </c>
      <c r="G2" s="8" t="s">
        <v>14</v>
      </c>
      <c r="H2" s="8" t="s">
        <v>53</v>
      </c>
      <c r="I2" s="8" t="s">
        <v>52</v>
      </c>
    </row>
    <row r="3" spans="1:12" ht="20.25" customHeight="1" x14ac:dyDescent="0.25">
      <c r="A3" s="27" t="s">
        <v>9</v>
      </c>
      <c r="B3" s="35" t="s">
        <v>20</v>
      </c>
      <c r="C3" s="36">
        <v>5</v>
      </c>
      <c r="D3" s="37">
        <v>7000</v>
      </c>
      <c r="E3" s="38">
        <f>C3*D3</f>
        <v>35000</v>
      </c>
      <c r="F3" s="103">
        <f>SUM(E3:E6)</f>
        <v>285000</v>
      </c>
      <c r="G3" s="103" t="s">
        <v>17</v>
      </c>
      <c r="H3" s="82" t="s">
        <v>56</v>
      </c>
      <c r="I3" s="85" t="s">
        <v>55</v>
      </c>
    </row>
    <row r="4" spans="1:12" ht="20.25" customHeight="1" x14ac:dyDescent="0.25">
      <c r="A4" s="28"/>
      <c r="B4" s="39" t="s">
        <v>21</v>
      </c>
      <c r="C4" s="36">
        <v>10</v>
      </c>
      <c r="D4" s="37">
        <v>6000</v>
      </c>
      <c r="E4" s="40">
        <f>C4*D4</f>
        <v>60000</v>
      </c>
      <c r="F4" s="104"/>
      <c r="G4" s="104"/>
      <c r="H4" s="83"/>
      <c r="I4" s="86"/>
    </row>
    <row r="5" spans="1:12" ht="30" x14ac:dyDescent="0.25">
      <c r="A5" s="28"/>
      <c r="B5" s="39" t="s">
        <v>3</v>
      </c>
      <c r="C5" s="36">
        <v>10</v>
      </c>
      <c r="D5" s="37">
        <v>9000</v>
      </c>
      <c r="E5" s="40">
        <f>C5*D5</f>
        <v>90000</v>
      </c>
      <c r="F5" s="104"/>
      <c r="G5" s="104"/>
      <c r="H5" s="83"/>
      <c r="I5" s="86"/>
    </row>
    <row r="6" spans="1:12" ht="15.75" thickBot="1" x14ac:dyDescent="0.3">
      <c r="A6" s="28"/>
      <c r="B6" s="41" t="s">
        <v>22</v>
      </c>
      <c r="C6" s="42">
        <v>2</v>
      </c>
      <c r="D6" s="43">
        <v>50000</v>
      </c>
      <c r="E6" s="44">
        <f>C6*D6</f>
        <v>100000</v>
      </c>
      <c r="F6" s="105"/>
      <c r="G6" s="104"/>
      <c r="H6" s="84"/>
      <c r="I6" s="86"/>
    </row>
    <row r="7" spans="1:12" ht="30.75" thickBot="1" x14ac:dyDescent="0.3">
      <c r="A7" s="26"/>
      <c r="B7" s="64" t="s">
        <v>7</v>
      </c>
      <c r="C7" s="65">
        <v>2</v>
      </c>
      <c r="D7" s="66">
        <v>60000</v>
      </c>
      <c r="E7" s="67">
        <f t="shared" ref="E7:E11" si="0">C7*D7</f>
        <v>120000</v>
      </c>
      <c r="F7" s="68">
        <f>E7</f>
        <v>120000</v>
      </c>
      <c r="G7" s="105"/>
      <c r="H7" s="75" t="s">
        <v>57</v>
      </c>
      <c r="I7" s="86"/>
    </row>
    <row r="8" spans="1:12" ht="30" x14ac:dyDescent="0.25">
      <c r="A8" s="27" t="s">
        <v>10</v>
      </c>
      <c r="B8" s="9" t="s">
        <v>18</v>
      </c>
      <c r="C8" s="6">
        <v>400</v>
      </c>
      <c r="D8" s="5">
        <v>2100</v>
      </c>
      <c r="E8" s="11">
        <f t="shared" si="0"/>
        <v>840000</v>
      </c>
      <c r="F8" s="97">
        <f>SUM(E8:E13)</f>
        <v>2815000</v>
      </c>
      <c r="G8" s="100" t="s">
        <v>16</v>
      </c>
      <c r="H8" s="88" t="s">
        <v>59</v>
      </c>
      <c r="I8" s="86"/>
    </row>
    <row r="9" spans="1:12" ht="30" x14ac:dyDescent="0.25">
      <c r="A9" s="28"/>
      <c r="B9" s="10" t="s">
        <v>4</v>
      </c>
      <c r="C9" s="7">
        <v>400</v>
      </c>
      <c r="D9" s="3">
        <v>1100</v>
      </c>
      <c r="E9" s="12">
        <f t="shared" si="0"/>
        <v>440000</v>
      </c>
      <c r="F9" s="98"/>
      <c r="G9" s="101"/>
      <c r="H9" s="88"/>
      <c r="I9" s="86"/>
    </row>
    <row r="10" spans="1:12" ht="30" x14ac:dyDescent="0.25">
      <c r="A10" s="28"/>
      <c r="B10" s="10" t="s">
        <v>5</v>
      </c>
      <c r="C10" s="7">
        <v>400</v>
      </c>
      <c r="D10" s="3">
        <v>900</v>
      </c>
      <c r="E10" s="12">
        <f t="shared" si="0"/>
        <v>360000</v>
      </c>
      <c r="F10" s="98"/>
      <c r="G10" s="101"/>
      <c r="H10" s="88"/>
      <c r="I10" s="86"/>
    </row>
    <row r="11" spans="1:12" ht="30" x14ac:dyDescent="0.25">
      <c r="A11" s="28"/>
      <c r="B11" s="10" t="s">
        <v>6</v>
      </c>
      <c r="C11" s="7">
        <v>150</v>
      </c>
      <c r="D11" s="3">
        <v>7300</v>
      </c>
      <c r="E11" s="12">
        <f t="shared" si="0"/>
        <v>1095000</v>
      </c>
      <c r="F11" s="98"/>
      <c r="G11" s="101"/>
      <c r="H11" s="88"/>
      <c r="I11" s="86"/>
    </row>
    <row r="12" spans="1:12" x14ac:dyDescent="0.25">
      <c r="A12" s="28"/>
      <c r="B12" s="10" t="s">
        <v>15</v>
      </c>
      <c r="C12" s="7">
        <v>15</v>
      </c>
      <c r="D12" s="3">
        <v>4000</v>
      </c>
      <c r="E12" s="12">
        <f t="shared" ref="E12:E13" si="1">C12*D12</f>
        <v>60000</v>
      </c>
      <c r="F12" s="98"/>
      <c r="G12" s="101"/>
      <c r="H12" s="88"/>
      <c r="I12" s="86"/>
    </row>
    <row r="13" spans="1:12" ht="15.75" thickBot="1" x14ac:dyDescent="0.3">
      <c r="A13" s="28"/>
      <c r="B13" s="16" t="s">
        <v>13</v>
      </c>
      <c r="C13" s="17">
        <v>10</v>
      </c>
      <c r="D13" s="18">
        <v>2000</v>
      </c>
      <c r="E13" s="19">
        <f t="shared" si="1"/>
        <v>20000</v>
      </c>
      <c r="F13" s="99"/>
      <c r="G13" s="102"/>
      <c r="H13" s="89"/>
      <c r="I13" s="86"/>
    </row>
    <row r="14" spans="1:12" ht="15.75" thickBot="1" x14ac:dyDescent="0.3">
      <c r="A14" s="20" t="s">
        <v>11</v>
      </c>
      <c r="B14" s="21" t="s">
        <v>23</v>
      </c>
      <c r="C14" s="22">
        <v>3</v>
      </c>
      <c r="D14" s="23">
        <v>6000</v>
      </c>
      <c r="E14" s="24">
        <f t="shared" ref="E14" si="2">C14*D14</f>
        <v>18000</v>
      </c>
      <c r="F14" s="25">
        <f>E14</f>
        <v>18000</v>
      </c>
      <c r="G14" s="34" t="s">
        <v>51</v>
      </c>
      <c r="H14" s="76" t="s">
        <v>56</v>
      </c>
      <c r="I14" s="87"/>
    </row>
    <row r="15" spans="1:12" s="52" customFormat="1" x14ac:dyDescent="0.25">
      <c r="A15" s="45"/>
      <c r="B15" s="46"/>
      <c r="C15" s="47"/>
      <c r="D15" s="48"/>
      <c r="E15" s="49"/>
      <c r="F15" s="50">
        <f>SUM(F3:F14)</f>
        <v>3238000</v>
      </c>
      <c r="G15" s="51"/>
      <c r="H15" s="63"/>
      <c r="L15" s="70"/>
    </row>
    <row r="16" spans="1:12" ht="15.75" thickBot="1" x14ac:dyDescent="0.3"/>
    <row r="17" spans="1:7" ht="27" thickBot="1" x14ac:dyDescent="0.45">
      <c r="A17" s="90" t="s">
        <v>50</v>
      </c>
      <c r="B17" s="91"/>
      <c r="C17" s="91"/>
      <c r="D17" s="91"/>
      <c r="E17" s="91"/>
      <c r="F17" s="91"/>
      <c r="G17" s="92"/>
    </row>
    <row r="18" spans="1:7" ht="30" x14ac:dyDescent="0.25">
      <c r="A18" s="59" t="s">
        <v>24</v>
      </c>
      <c r="B18" s="59" t="s">
        <v>25</v>
      </c>
      <c r="C18" s="58" t="s">
        <v>26</v>
      </c>
      <c r="D18" s="59" t="s">
        <v>27</v>
      </c>
      <c r="E18" s="62" t="s">
        <v>14</v>
      </c>
      <c r="F18" s="62" t="s">
        <v>53</v>
      </c>
      <c r="G18" s="62" t="s">
        <v>52</v>
      </c>
    </row>
    <row r="19" spans="1:7" x14ac:dyDescent="0.25">
      <c r="A19" s="29" t="s">
        <v>28</v>
      </c>
      <c r="B19" s="29">
        <v>50</v>
      </c>
      <c r="C19" s="31">
        <v>4500</v>
      </c>
      <c r="D19" s="32">
        <f>C19*B19</f>
        <v>225000</v>
      </c>
      <c r="E19" s="96" t="s">
        <v>49</v>
      </c>
      <c r="F19" s="106" t="s">
        <v>54</v>
      </c>
      <c r="G19" s="106" t="s">
        <v>55</v>
      </c>
    </row>
    <row r="20" spans="1:7" ht="30" x14ac:dyDescent="0.25">
      <c r="A20" s="33" t="s">
        <v>29</v>
      </c>
      <c r="B20" s="29">
        <v>50</v>
      </c>
      <c r="C20" s="31">
        <v>4500</v>
      </c>
      <c r="D20" s="32">
        <f t="shared" ref="D20:D38" si="3">C20*B20</f>
        <v>225000</v>
      </c>
      <c r="E20" s="96"/>
      <c r="F20" s="106"/>
      <c r="G20" s="106"/>
    </row>
    <row r="21" spans="1:7" x14ac:dyDescent="0.25">
      <c r="A21" s="33" t="s">
        <v>30</v>
      </c>
      <c r="B21" s="29">
        <v>50</v>
      </c>
      <c r="C21" s="31">
        <v>4500</v>
      </c>
      <c r="D21" s="32">
        <f t="shared" si="3"/>
        <v>225000</v>
      </c>
      <c r="E21" s="96"/>
      <c r="F21" s="106"/>
      <c r="G21" s="106"/>
    </row>
    <row r="22" spans="1:7" x14ac:dyDescent="0.25">
      <c r="A22" s="33" t="s">
        <v>31</v>
      </c>
      <c r="B22" s="29">
        <v>50</v>
      </c>
      <c r="C22" s="31">
        <v>4500</v>
      </c>
      <c r="D22" s="32">
        <f t="shared" si="3"/>
        <v>225000</v>
      </c>
      <c r="E22" s="96"/>
      <c r="F22" s="106"/>
      <c r="G22" s="106"/>
    </row>
    <row r="23" spans="1:7" x14ac:dyDescent="0.25">
      <c r="A23" s="29" t="s">
        <v>32</v>
      </c>
      <c r="B23" s="29">
        <v>50</v>
      </c>
      <c r="C23" s="31">
        <v>4500</v>
      </c>
      <c r="D23" s="32">
        <f t="shared" si="3"/>
        <v>225000</v>
      </c>
      <c r="E23" s="96"/>
      <c r="F23" s="106"/>
      <c r="G23" s="106"/>
    </row>
    <row r="24" spans="1:7" x14ac:dyDescent="0.25">
      <c r="A24" s="29" t="s">
        <v>33</v>
      </c>
      <c r="B24" s="30">
        <v>40</v>
      </c>
      <c r="C24" s="31">
        <v>4500</v>
      </c>
      <c r="D24" s="32">
        <f t="shared" si="3"/>
        <v>180000</v>
      </c>
      <c r="E24" s="96"/>
      <c r="F24" s="106"/>
      <c r="G24" s="106"/>
    </row>
    <row r="25" spans="1:7" x14ac:dyDescent="0.25">
      <c r="A25" s="33" t="s">
        <v>34</v>
      </c>
      <c r="B25" s="30">
        <v>40</v>
      </c>
      <c r="C25" s="31">
        <v>6000</v>
      </c>
      <c r="D25" s="32">
        <f t="shared" si="3"/>
        <v>240000</v>
      </c>
      <c r="E25" s="96"/>
      <c r="F25" s="106"/>
      <c r="G25" s="106"/>
    </row>
    <row r="26" spans="1:7" x14ac:dyDescent="0.25">
      <c r="A26" s="33" t="s">
        <v>35</v>
      </c>
      <c r="B26" s="30">
        <v>20</v>
      </c>
      <c r="C26" s="31">
        <v>4500</v>
      </c>
      <c r="D26" s="32">
        <f t="shared" si="3"/>
        <v>90000</v>
      </c>
      <c r="E26" s="96"/>
      <c r="F26" s="106"/>
      <c r="G26" s="106"/>
    </row>
    <row r="27" spans="1:7" x14ac:dyDescent="0.25">
      <c r="A27" s="33" t="s">
        <v>36</v>
      </c>
      <c r="B27" s="30">
        <v>30</v>
      </c>
      <c r="C27" s="31">
        <v>4500</v>
      </c>
      <c r="D27" s="32">
        <f t="shared" si="3"/>
        <v>135000</v>
      </c>
      <c r="E27" s="96"/>
      <c r="F27" s="106"/>
      <c r="G27" s="106"/>
    </row>
    <row r="28" spans="1:7" x14ac:dyDescent="0.25">
      <c r="A28" s="33" t="s">
        <v>37</v>
      </c>
      <c r="B28" s="30">
        <v>30</v>
      </c>
      <c r="C28" s="31">
        <v>4500</v>
      </c>
      <c r="D28" s="32">
        <f t="shared" si="3"/>
        <v>135000</v>
      </c>
      <c r="E28" s="96"/>
      <c r="F28" s="106"/>
      <c r="G28" s="106"/>
    </row>
    <row r="29" spans="1:7" x14ac:dyDescent="0.25">
      <c r="A29" s="33" t="s">
        <v>38</v>
      </c>
      <c r="B29" s="30">
        <v>30</v>
      </c>
      <c r="C29" s="31">
        <v>4500</v>
      </c>
      <c r="D29" s="32">
        <f t="shared" si="3"/>
        <v>135000</v>
      </c>
      <c r="E29" s="96"/>
      <c r="F29" s="106"/>
      <c r="G29" s="106"/>
    </row>
    <row r="30" spans="1:7" x14ac:dyDescent="0.25">
      <c r="A30" s="29" t="s">
        <v>39</v>
      </c>
      <c r="B30" s="30">
        <v>30</v>
      </c>
      <c r="C30" s="31">
        <v>4500</v>
      </c>
      <c r="D30" s="32">
        <f t="shared" si="3"/>
        <v>135000</v>
      </c>
      <c r="E30" s="96"/>
      <c r="F30" s="106"/>
      <c r="G30" s="106"/>
    </row>
    <row r="31" spans="1:7" x14ac:dyDescent="0.25">
      <c r="A31" s="29" t="s">
        <v>40</v>
      </c>
      <c r="B31" s="29">
        <v>40</v>
      </c>
      <c r="C31" s="31">
        <v>4500</v>
      </c>
      <c r="D31" s="32">
        <f t="shared" si="3"/>
        <v>180000</v>
      </c>
      <c r="E31" s="96"/>
      <c r="F31" s="106"/>
      <c r="G31" s="106"/>
    </row>
    <row r="32" spans="1:7" x14ac:dyDescent="0.25">
      <c r="A32" s="29" t="s">
        <v>41</v>
      </c>
      <c r="B32" s="29">
        <v>50</v>
      </c>
      <c r="C32" s="31">
        <v>4500</v>
      </c>
      <c r="D32" s="32">
        <f t="shared" si="3"/>
        <v>225000</v>
      </c>
      <c r="E32" s="96"/>
      <c r="F32" s="106"/>
      <c r="G32" s="106"/>
    </row>
    <row r="33" spans="1:7" x14ac:dyDescent="0.25">
      <c r="A33" s="29" t="s">
        <v>42</v>
      </c>
      <c r="B33" s="29">
        <v>40</v>
      </c>
      <c r="C33" s="31">
        <v>4500</v>
      </c>
      <c r="D33" s="32">
        <f t="shared" si="3"/>
        <v>180000</v>
      </c>
      <c r="E33" s="96"/>
      <c r="F33" s="106"/>
      <c r="G33" s="106"/>
    </row>
    <row r="34" spans="1:7" x14ac:dyDescent="0.25">
      <c r="A34" s="29" t="s">
        <v>43</v>
      </c>
      <c r="B34" s="29">
        <v>16</v>
      </c>
      <c r="C34" s="31">
        <v>5000</v>
      </c>
      <c r="D34" s="32">
        <f t="shared" si="3"/>
        <v>80000</v>
      </c>
      <c r="E34" s="96"/>
      <c r="F34" s="106"/>
      <c r="G34" s="106"/>
    </row>
    <row r="35" spans="1:7" x14ac:dyDescent="0.25">
      <c r="A35" s="29" t="s">
        <v>44</v>
      </c>
      <c r="B35" s="29">
        <v>25</v>
      </c>
      <c r="C35" s="31">
        <v>10000</v>
      </c>
      <c r="D35" s="32">
        <f t="shared" si="3"/>
        <v>250000</v>
      </c>
      <c r="E35" s="96"/>
      <c r="F35" s="106"/>
      <c r="G35" s="106"/>
    </row>
    <row r="36" spans="1:7" x14ac:dyDescent="0.25">
      <c r="A36" s="29" t="s">
        <v>45</v>
      </c>
      <c r="B36" s="29">
        <v>20</v>
      </c>
      <c r="C36" s="31">
        <v>10000</v>
      </c>
      <c r="D36" s="32">
        <f t="shared" si="3"/>
        <v>200000</v>
      </c>
      <c r="E36" s="96"/>
      <c r="F36" s="106"/>
      <c r="G36" s="106"/>
    </row>
    <row r="37" spans="1:7" x14ac:dyDescent="0.25">
      <c r="A37" s="30" t="s">
        <v>46</v>
      </c>
      <c r="B37" s="30">
        <v>30</v>
      </c>
      <c r="C37" s="31">
        <v>8000</v>
      </c>
      <c r="D37" s="32">
        <f t="shared" si="3"/>
        <v>240000</v>
      </c>
      <c r="E37" s="96"/>
      <c r="F37" s="106"/>
      <c r="G37" s="106"/>
    </row>
    <row r="38" spans="1:7" x14ac:dyDescent="0.25">
      <c r="A38" s="30" t="s">
        <v>47</v>
      </c>
      <c r="B38" s="30">
        <v>20</v>
      </c>
      <c r="C38" s="31">
        <v>8000</v>
      </c>
      <c r="D38" s="32">
        <f t="shared" si="3"/>
        <v>160000</v>
      </c>
      <c r="E38" s="96"/>
      <c r="F38" s="106"/>
      <c r="G38" s="106"/>
    </row>
    <row r="39" spans="1:7" x14ac:dyDescent="0.25">
      <c r="A39" s="53"/>
      <c r="B39" s="53"/>
      <c r="C39" s="54"/>
      <c r="D39" s="55">
        <f>SUM(D19:D38)</f>
        <v>3690000</v>
      </c>
      <c r="E39" s="56"/>
    </row>
    <row r="40" spans="1:7" x14ac:dyDescent="0.25">
      <c r="A40" s="53"/>
      <c r="B40" s="53"/>
      <c r="C40" s="54"/>
      <c r="D40" s="55"/>
      <c r="E40" s="56"/>
    </row>
    <row r="41" spans="1:7" ht="15.75" thickBot="1" x14ac:dyDescent="0.3"/>
    <row r="42" spans="1:7" ht="29.25" thickBot="1" x14ac:dyDescent="0.5">
      <c r="D42" s="13" t="s">
        <v>2</v>
      </c>
      <c r="E42" s="14">
        <f>SUM(F3:F14,D19:D38)</f>
        <v>6928000</v>
      </c>
      <c r="F42" s="57">
        <f>D39+F15</f>
        <v>6928000</v>
      </c>
    </row>
    <row r="45" spans="1:7" x14ac:dyDescent="0.25">
      <c r="C45" s="71" t="s">
        <v>53</v>
      </c>
      <c r="D45" s="72" t="s">
        <v>58</v>
      </c>
      <c r="E45" s="72" t="s">
        <v>52</v>
      </c>
    </row>
    <row r="46" spans="1:7" x14ac:dyDescent="0.25">
      <c r="C46" s="73" t="s">
        <v>56</v>
      </c>
      <c r="D46" s="74">
        <f>F3+F14</f>
        <v>303000</v>
      </c>
      <c r="E46" s="79" t="s">
        <v>55</v>
      </c>
    </row>
    <row r="47" spans="1:7" x14ac:dyDescent="0.25">
      <c r="C47" s="73" t="s">
        <v>57</v>
      </c>
      <c r="D47" s="74">
        <f>F7</f>
        <v>120000</v>
      </c>
      <c r="E47" s="80"/>
    </row>
    <row r="48" spans="1:7" x14ac:dyDescent="0.25">
      <c r="C48" s="73" t="s">
        <v>59</v>
      </c>
      <c r="D48" s="74">
        <f>F8</f>
        <v>2815000</v>
      </c>
      <c r="E48" s="80"/>
    </row>
    <row r="49" spans="3:5" ht="15.75" thickBot="1" x14ac:dyDescent="0.3">
      <c r="C49" s="73" t="s">
        <v>54</v>
      </c>
      <c r="D49" s="78">
        <f>SUM(D19:D38)</f>
        <v>3690000</v>
      </c>
      <c r="E49" s="81"/>
    </row>
    <row r="50" spans="3:5" ht="15.75" thickTop="1" x14ac:dyDescent="0.25">
      <c r="D50" s="77">
        <f>SUM(D46:D49)</f>
        <v>6928000</v>
      </c>
    </row>
  </sheetData>
  <mergeCells count="13">
    <mergeCell ref="B1:G1"/>
    <mergeCell ref="E19:E38"/>
    <mergeCell ref="F8:F13"/>
    <mergeCell ref="G8:G13"/>
    <mergeCell ref="G3:G7"/>
    <mergeCell ref="F19:F38"/>
    <mergeCell ref="G19:G38"/>
    <mergeCell ref="F3:F6"/>
    <mergeCell ref="E46:E49"/>
    <mergeCell ref="H3:H6"/>
    <mergeCell ref="I3:I14"/>
    <mergeCell ref="H8:H13"/>
    <mergeCell ref="A17:G17"/>
  </mergeCells>
  <pageMargins left="0.7" right="0.7" top="0.75" bottom="0.75" header="0.3" footer="0.3"/>
  <pageSetup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Bellanira Guidotti</dc:creator>
  <cp:lastModifiedBy>Maribel Colque</cp:lastModifiedBy>
  <cp:lastPrinted>2026-07-07T15:13:11Z</cp:lastPrinted>
  <dcterms:created xsi:type="dcterms:W3CDTF">2024-02-13T18:20:57Z</dcterms:created>
  <dcterms:modified xsi:type="dcterms:W3CDTF">2026-07-07T15:22:59Z</dcterms:modified>
</cp:coreProperties>
</file>