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_\Desktop\AÑO 2026\Compra ágil\DEM\Servicio de Suministro e Instalación para estufas a pellet\"/>
    </mc:Choice>
  </mc:AlternateContent>
  <xr:revisionPtr revIDLastSave="0" documentId="13_ncr:1_{4CB710F1-8873-418B-B0C1-78377DB20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IZADO" sheetId="1" r:id="rId1"/>
  </sheets>
  <definedNames>
    <definedName name="_xlnm.Print_Area" localSheetId="0">ITEMIZADO!$A$1:$F$37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6" i="1"/>
  <c r="F13" i="1"/>
  <c r="F9" i="1"/>
  <c r="F10" i="1"/>
  <c r="F11" i="1"/>
  <c r="F12" i="1"/>
  <c r="F8" i="1"/>
  <c r="F17" i="1" l="1"/>
  <c r="F21" i="1" s="1"/>
  <c r="F22" i="1" s="1"/>
  <c r="F23" i="1" l="1"/>
  <c r="F24" i="1" s="1"/>
  <c r="F25" i="1" l="1"/>
  <c r="F26" i="1" s="1"/>
</calcChain>
</file>

<file path=xl/sharedStrings.xml><?xml version="1.0" encoding="utf-8"?>
<sst xmlns="http://schemas.openxmlformats.org/spreadsheetml/2006/main" count="40" uniqueCount="33">
  <si>
    <t>ITEMIZADO DE PRESUPUESTO PRECIO UNITARIO OBRAS CIVILES</t>
  </si>
  <si>
    <t>TOTAL PARCIAL</t>
  </si>
  <si>
    <t xml:space="preserve">GG. </t>
  </si>
  <si>
    <t>Utilidades</t>
  </si>
  <si>
    <t>TOTAL NETO</t>
  </si>
  <si>
    <t>I.V.A.</t>
  </si>
  <si>
    <t>COSTO TOTAL O.O.C.C</t>
  </si>
  <si>
    <t>Total Obras Preliminares</t>
  </si>
  <si>
    <t>un</t>
  </si>
  <si>
    <t xml:space="preserve"> </t>
  </si>
  <si>
    <t xml:space="preserve">Respuestos </t>
  </si>
  <si>
    <t>Pressostato-Amesti 6100</t>
  </si>
  <si>
    <t>Disp. Encendido- Amesti 6100</t>
  </si>
  <si>
    <t>Ventilador-Tangencial-Amesti 8100</t>
  </si>
  <si>
    <t>Ventilador- Tangencial-Amesti 6100</t>
  </si>
  <si>
    <t>Angol, julio 2026</t>
  </si>
  <si>
    <t>1.1</t>
  </si>
  <si>
    <t>Bujia Amesti 8100 plus</t>
  </si>
  <si>
    <t>Motoreductor-8100PLUS-2 (3 Rpm)</t>
  </si>
  <si>
    <t xml:space="preserve">Extractor de Humo- Amesti 6100 </t>
  </si>
  <si>
    <t xml:space="preserve">Bujia Amesti 8100 plus </t>
  </si>
  <si>
    <t>Establecimientos</t>
  </si>
  <si>
    <t>Jardin VTF</t>
  </si>
  <si>
    <t>2. 1</t>
  </si>
  <si>
    <t>1.1.1</t>
  </si>
  <si>
    <t>1.1.2</t>
  </si>
  <si>
    <t>1.1.3</t>
  </si>
  <si>
    <t>1.1.4</t>
  </si>
  <si>
    <t>1.1.5</t>
  </si>
  <si>
    <t>1.1.6</t>
  </si>
  <si>
    <t>1.1.7</t>
  </si>
  <si>
    <t>2.1.1</t>
  </si>
  <si>
    <t>"ADQUISICIÓN DE REPUESTOS E INSTALACIÓN DE REPUESTOS PARA ESTUFAS A PELLET DE ESTABLECIMIENTOS COMUNDA DE ANGOL"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</si>
</sst>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$-340A]\ * #,##0.00_-;\-[$$-340A]\ * #,##0.00_-;_-[$$-340A]\ * &quot;-&quot;_-;_-@_-"/>
    <numFmt numFmtId="165" formatCode="[$$-340A]\ #,##0"/>
    <numFmt numFmtId="166" formatCode="_-[$$-340A]\ * #,##0_-;\-[$$-340A]\ * #,##0_-;_-[$$-340A]\ * &quot;-&quot;_-;_-@_-"/>
    <numFmt numFmtId="167" formatCode="_-* #,##0.00\ _p_t_a_-;\-* #,##0.00\ _p_t_a_-;_-* &quot;-&quot;??\ _p_t_a_-;_-@_-"/>
    <numFmt numFmtId="168" formatCode="_-* #,##0\ _p_t_a_-;\-* #,##0\ _p_t_a_-;_-* &quot;-&quot;??\ _p_t_a_-;_-@_-"/>
    <numFmt numFmtId="169" formatCode="[$$-340A]\ #,##0.00"/>
    <numFmt numFmtId="170" formatCode="_-&quot;$&quot;\ * #,##0_-;\-&quot;$&quot;\ * #,##0_-;_-&quot;$&quot;\ * &quot;-&quot;??_-;_-@_-"/>
    <numFmt numFmtId="171" formatCode="_-* #,##0.00\ &quot;€&quot;_-;\-* #,##0.00\ &quot;€&quot;_-;_-* &quot;-&quot;??\ &quot;€&quot;_-;_-@_-"/>
  </numFmts>
  <fonts count="17">
    <font>
      <sz val="10"/>
      <name val="Arial"/>
    </font>
    <font>
      <sz val="10"/>
      <name val="Arial"/>
      <family val="2"/>
    </font>
    <font>
      <b/>
      <i/>
      <sz val="11"/>
      <name val="Cambria"/>
      <family val="1"/>
      <scheme val="major"/>
    </font>
    <font>
      <sz val="8"/>
      <name val="Swis721 BT"/>
      <family val="2"/>
    </font>
    <font>
      <i/>
      <sz val="10"/>
      <name val="Arial"/>
      <family val="2"/>
    </font>
    <font>
      <b/>
      <sz val="10"/>
      <name val="Cambria"/>
      <family val="1"/>
      <scheme val="major"/>
    </font>
    <font>
      <b/>
      <i/>
      <sz val="10"/>
      <name val="Cambria"/>
      <family val="1"/>
      <scheme val="major"/>
    </font>
    <font>
      <i/>
      <sz val="11"/>
      <name val="Cambria"/>
      <family val="1"/>
      <scheme val="major"/>
    </font>
    <font>
      <sz val="10"/>
      <name val="Arial"/>
      <family val="2"/>
    </font>
    <font>
      <i/>
      <sz val="10"/>
      <name val="Cambria"/>
      <family val="1"/>
      <scheme val="major"/>
    </font>
    <font>
      <sz val="10"/>
      <color rgb="FF000000"/>
      <name val="Calibri"/>
      <family val="2"/>
      <scheme val="min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sz val="9"/>
      <name val="Cambria"/>
      <family val="1"/>
      <scheme val="major"/>
    </font>
    <font>
      <sz val="11"/>
      <name val="Cambria"/>
      <family val="1"/>
      <scheme val="major"/>
    </font>
    <font>
      <sz val="8"/>
      <name val="Arial"/>
      <family val="2"/>
    </font>
    <font>
      <i/>
      <sz val="11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DA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7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8" fillId="0" borderId="0"/>
    <xf numFmtId="0" fontId="8" fillId="0" borderId="0"/>
    <xf numFmtId="0" fontId="10" fillId="0" borderId="0"/>
  </cellStyleXfs>
  <cellXfs count="100">
    <xf numFmtId="0" fontId="0" fillId="0" borderId="0" xfId="0"/>
    <xf numFmtId="164" fontId="2" fillId="0" borderId="0" xfId="0" applyNumberFormat="1" applyFont="1" applyAlignment="1">
      <alignment horizontal="center" vertical="center" wrapText="1"/>
    </xf>
    <xf numFmtId="12" fontId="2" fillId="0" borderId="0" xfId="0" applyNumberFormat="1" applyFont="1" applyAlignment="1">
      <alignment horizontal="center" vertical="center" wrapText="1"/>
    </xf>
    <xf numFmtId="1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4" fontId="7" fillId="2" borderId="7" xfId="0" applyNumberFormat="1" applyFont="1" applyFill="1" applyBorder="1" applyAlignment="1">
      <alignment horizontal="center" vertical="center"/>
    </xf>
    <xf numFmtId="166" fontId="7" fillId="2" borderId="7" xfId="0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2" fillId="5" borderId="5" xfId="0" applyFont="1" applyFill="1" applyBorder="1" applyAlignment="1">
      <alignment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right" vertical="center"/>
    </xf>
    <xf numFmtId="166" fontId="7" fillId="2" borderId="0" xfId="0" applyNumberFormat="1" applyFont="1" applyFill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166" fontId="7" fillId="6" borderId="8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168" fontId="2" fillId="0" borderId="0" xfId="2" applyNumberFormat="1" applyFont="1" applyBorder="1" applyAlignment="1">
      <alignment horizontal="center" vertical="center"/>
    </xf>
    <xf numFmtId="9" fontId="2" fillId="2" borderId="10" xfId="0" applyNumberFormat="1" applyFont="1" applyFill="1" applyBorder="1" applyAlignment="1">
      <alignment horizontal="center" vertical="center"/>
    </xf>
    <xf numFmtId="169" fontId="2" fillId="0" borderId="11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right" vertical="center"/>
    </xf>
    <xf numFmtId="9" fontId="2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6" fontId="2" fillId="0" borderId="12" xfId="0" applyNumberFormat="1" applyFont="1" applyBorder="1" applyAlignment="1">
      <alignment horizontal="right" vertical="center"/>
    </xf>
    <xf numFmtId="9" fontId="2" fillId="0" borderId="9" xfId="0" applyNumberFormat="1" applyFont="1" applyBorder="1" applyAlignment="1">
      <alignment horizontal="center" vertical="center"/>
    </xf>
    <xf numFmtId="169" fontId="2" fillId="0" borderId="0" xfId="2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right" vertical="center"/>
    </xf>
    <xf numFmtId="170" fontId="2" fillId="4" borderId="17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7" fillId="8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0" fontId="0" fillId="8" borderId="0" xfId="0" applyFill="1" applyAlignment="1">
      <alignment vertical="center"/>
    </xf>
    <xf numFmtId="165" fontId="2" fillId="4" borderId="6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65" fontId="2" fillId="2" borderId="0" xfId="0" applyNumberFormat="1" applyFont="1" applyFill="1" applyAlignment="1">
      <alignment horizontal="right" vertical="center"/>
    </xf>
    <xf numFmtId="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6" fontId="7" fillId="6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7" fillId="10" borderId="20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justify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left" vertical="center"/>
    </xf>
    <xf numFmtId="165" fontId="2" fillId="10" borderId="19" xfId="0" applyNumberFormat="1" applyFont="1" applyFill="1" applyBorder="1" applyAlignment="1">
      <alignment horizontal="right" vertical="center"/>
    </xf>
    <xf numFmtId="0" fontId="6" fillId="5" borderId="9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4" fontId="5" fillId="5" borderId="23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166" fontId="7" fillId="6" borderId="7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/>
    </xf>
    <xf numFmtId="0" fontId="2" fillId="5" borderId="24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vertical="center"/>
    </xf>
    <xf numFmtId="0" fontId="0" fillId="5" borderId="25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4" fontId="2" fillId="5" borderId="7" xfId="0" applyNumberFormat="1" applyFont="1" applyFill="1" applyBorder="1" applyAlignment="1">
      <alignment horizontal="center" vertical="center"/>
    </xf>
    <xf numFmtId="166" fontId="2" fillId="5" borderId="7" xfId="0" applyNumberFormat="1" applyFont="1" applyFill="1" applyBorder="1" applyAlignment="1">
      <alignment horizontal="right" vertical="center"/>
    </xf>
    <xf numFmtId="166" fontId="2" fillId="5" borderId="7" xfId="0" applyNumberFormat="1" applyFont="1" applyFill="1" applyBorder="1" applyAlignment="1">
      <alignment horizontal="center" vertical="center" wrapText="1"/>
    </xf>
    <xf numFmtId="12" fontId="11" fillId="9" borderId="1" xfId="0" applyNumberFormat="1" applyFont="1" applyFill="1" applyBorder="1" applyAlignment="1">
      <alignment horizontal="center" vertical="center" wrapText="1"/>
    </xf>
    <xf numFmtId="12" fontId="11" fillId="9" borderId="2" xfId="0" applyNumberFormat="1" applyFont="1" applyFill="1" applyBorder="1" applyAlignment="1">
      <alignment horizontal="center" vertical="center" wrapText="1"/>
    </xf>
    <xf numFmtId="12" fontId="11" fillId="9" borderId="3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2" fontId="1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8" fontId="2" fillId="4" borderId="14" xfId="2" applyNumberFormat="1" applyFont="1" applyFill="1" applyBorder="1" applyAlignment="1">
      <alignment horizontal="right" vertical="center"/>
    </xf>
    <xf numFmtId="168" fontId="2" fillId="4" borderId="15" xfId="2" applyNumberFormat="1" applyFont="1" applyFill="1" applyBorder="1" applyAlignment="1">
      <alignment horizontal="right" vertical="center"/>
    </xf>
    <xf numFmtId="168" fontId="2" fillId="0" borderId="10" xfId="2" applyNumberFormat="1" applyFont="1" applyBorder="1" applyAlignment="1">
      <alignment horizontal="right" vertical="center"/>
    </xf>
    <xf numFmtId="168" fontId="2" fillId="0" borderId="11" xfId="2" applyNumberFormat="1" applyFont="1" applyBorder="1" applyAlignment="1">
      <alignment horizontal="right" vertical="center"/>
    </xf>
    <xf numFmtId="168" fontId="2" fillId="4" borderId="1" xfId="2" applyNumberFormat="1" applyFont="1" applyFill="1" applyBorder="1" applyAlignment="1">
      <alignment horizontal="right" vertical="center"/>
    </xf>
    <xf numFmtId="168" fontId="2" fillId="4" borderId="16" xfId="2" applyNumberFormat="1" applyFont="1" applyFill="1" applyBorder="1" applyAlignment="1">
      <alignment horizontal="right" vertical="center"/>
    </xf>
    <xf numFmtId="168" fontId="7" fillId="0" borderId="0" xfId="2" applyNumberFormat="1" applyFont="1" applyBorder="1" applyAlignment="1">
      <alignment horizontal="center" vertical="center"/>
    </xf>
  </cellXfs>
  <cellStyles count="7">
    <cellStyle name="Euro" xfId="3" xr:uid="{00000000-0005-0000-0000-000000000000}"/>
    <cellStyle name="Millares_Hoja1" xfId="2" xr:uid="{00000000-0005-0000-0000-000001000000}"/>
    <cellStyle name="Normal" xfId="0" builtinId="0"/>
    <cellStyle name="Normal 2" xfId="4" xr:uid="{00000000-0005-0000-0000-000003000000}"/>
    <cellStyle name="Normal 3" xfId="5" xr:uid="{00000000-0005-0000-0000-000004000000}"/>
    <cellStyle name="Normal 4" xfId="1" xr:uid="{00000000-0005-0000-0000-000005000000}"/>
    <cellStyle name="Normal 5" xfId="6" xr:uid="{00000000-0005-0000-0000-000006000000}"/>
  </cellStyles>
  <dxfs count="0"/>
  <tableStyles count="0" defaultTableStyle="TableStyleMedium9" defaultPivotStyle="PivotStyleLight16"/>
  <colors>
    <mruColors>
      <color rgb="FFFFED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K49"/>
  <sheetViews>
    <sheetView tabSelected="1" view="pageBreakPreview" zoomScaleNormal="100" zoomScaleSheetLayoutView="100" workbookViewId="0">
      <selection activeCell="A3" sqref="A3:F3"/>
    </sheetView>
  </sheetViews>
  <sheetFormatPr baseColWidth="10" defaultColWidth="11.42578125" defaultRowHeight="12.75"/>
  <cols>
    <col min="1" max="1" width="6.5703125" style="6" customWidth="1"/>
    <col min="2" max="2" width="67.140625" style="4" customWidth="1"/>
    <col min="3" max="3" width="7.42578125" style="7" customWidth="1"/>
    <col min="4" max="4" width="9.7109375" style="4" customWidth="1"/>
    <col min="5" max="5" width="14.140625" style="4" customWidth="1"/>
    <col min="6" max="6" width="17.140625" style="4" customWidth="1"/>
    <col min="7" max="7" width="15" style="8" customWidth="1"/>
    <col min="8" max="8" width="17.140625" style="4" customWidth="1"/>
    <col min="9" max="9" width="12.42578125" style="4" customWidth="1"/>
    <col min="10" max="10" width="14.5703125" style="4" customWidth="1"/>
    <col min="11" max="11" width="13.85546875" style="4" customWidth="1"/>
    <col min="12" max="12" width="32.5703125" style="4" customWidth="1"/>
    <col min="13" max="13" width="10.5703125" style="4" customWidth="1"/>
    <col min="14" max="14" width="17.5703125" style="4" customWidth="1"/>
    <col min="15" max="16384" width="11.42578125" style="4"/>
  </cols>
  <sheetData>
    <row r="1" spans="1:11" ht="36.75" customHeight="1" thickBot="1">
      <c r="A1" s="84" t="s">
        <v>32</v>
      </c>
      <c r="B1" s="85"/>
      <c r="C1" s="85"/>
      <c r="D1" s="85"/>
      <c r="E1" s="85"/>
      <c r="F1" s="86"/>
      <c r="G1" s="1"/>
      <c r="H1" s="2"/>
      <c r="I1" s="3"/>
      <c r="K1" s="5"/>
    </row>
    <row r="2" spans="1:11" ht="33" customHeight="1" thickBot="1">
      <c r="A2" s="90"/>
      <c r="B2" s="90"/>
      <c r="C2" s="90"/>
      <c r="D2" s="90"/>
      <c r="E2" s="90"/>
      <c r="F2" s="90"/>
      <c r="K2" s="5"/>
    </row>
    <row r="3" spans="1:11" ht="23.1" customHeight="1" thickBot="1">
      <c r="A3" s="87" t="s">
        <v>0</v>
      </c>
      <c r="B3" s="88"/>
      <c r="C3" s="88"/>
      <c r="D3" s="88"/>
      <c r="E3" s="88"/>
      <c r="F3" s="89"/>
      <c r="G3" s="9"/>
      <c r="H3" s="10"/>
      <c r="K3" s="5"/>
    </row>
    <row r="4" spans="1:11" ht="9.75" customHeight="1" thickBot="1">
      <c r="A4" s="11"/>
      <c r="K4" s="5"/>
    </row>
    <row r="5" spans="1:11" ht="13.5" customHeight="1" thickBot="1">
      <c r="A5" s="66"/>
      <c r="B5" s="67"/>
      <c r="C5" s="68"/>
      <c r="D5" s="69"/>
      <c r="E5" s="70"/>
      <c r="F5" s="71"/>
      <c r="G5" s="12"/>
      <c r="H5" s="13"/>
    </row>
    <row r="6" spans="1:11" s="18" customFormat="1" ht="24" customHeight="1">
      <c r="A6" s="14">
        <v>1</v>
      </c>
      <c r="B6" s="19" t="s">
        <v>10</v>
      </c>
      <c r="C6" s="20"/>
      <c r="D6" s="20"/>
      <c r="E6" s="20"/>
      <c r="F6" s="21"/>
      <c r="G6" s="22"/>
      <c r="H6" s="23"/>
    </row>
    <row r="7" spans="1:11" s="18" customFormat="1" ht="24" customHeight="1">
      <c r="A7" s="74" t="s">
        <v>16</v>
      </c>
      <c r="B7" s="75" t="s">
        <v>21</v>
      </c>
      <c r="C7" s="76"/>
      <c r="D7" s="76"/>
      <c r="E7" s="76"/>
      <c r="F7" s="77"/>
      <c r="G7" s="22"/>
      <c r="H7" s="23"/>
    </row>
    <row r="8" spans="1:11" s="18" customFormat="1" ht="24" customHeight="1">
      <c r="A8" s="26" t="s">
        <v>24</v>
      </c>
      <c r="B8" s="26" t="s">
        <v>11</v>
      </c>
      <c r="C8" s="15" t="s">
        <v>8</v>
      </c>
      <c r="D8" s="16">
        <v>3</v>
      </c>
      <c r="E8" s="17"/>
      <c r="F8" s="27">
        <f t="shared" ref="F8:F16" si="0">+D8*E8</f>
        <v>0</v>
      </c>
      <c r="G8" s="24"/>
      <c r="H8" s="25"/>
    </row>
    <row r="9" spans="1:11" s="18" customFormat="1" ht="24" customHeight="1">
      <c r="A9" s="26" t="s">
        <v>25</v>
      </c>
      <c r="B9" s="26" t="s">
        <v>12</v>
      </c>
      <c r="C9" s="15" t="s">
        <v>8</v>
      </c>
      <c r="D9" s="16">
        <v>1</v>
      </c>
      <c r="E9" s="17"/>
      <c r="F9" s="27">
        <f t="shared" si="0"/>
        <v>0</v>
      </c>
      <c r="G9" s="24"/>
      <c r="H9" s="25"/>
    </row>
    <row r="10" spans="1:11" s="18" customFormat="1" ht="24" customHeight="1">
      <c r="A10" s="26" t="s">
        <v>26</v>
      </c>
      <c r="B10" s="26" t="s">
        <v>13</v>
      </c>
      <c r="C10" s="15" t="s">
        <v>8</v>
      </c>
      <c r="D10" s="16">
        <v>1</v>
      </c>
      <c r="E10" s="17"/>
      <c r="F10" s="27">
        <f t="shared" si="0"/>
        <v>0</v>
      </c>
      <c r="G10" s="24"/>
      <c r="H10" s="25"/>
    </row>
    <row r="11" spans="1:11" s="18" customFormat="1" ht="24" customHeight="1">
      <c r="A11" s="26" t="s">
        <v>27</v>
      </c>
      <c r="B11" s="26" t="s">
        <v>18</v>
      </c>
      <c r="C11" s="15" t="s">
        <v>8</v>
      </c>
      <c r="D11" s="16">
        <v>1</v>
      </c>
      <c r="E11" s="17"/>
      <c r="F11" s="27">
        <f t="shared" si="0"/>
        <v>0</v>
      </c>
      <c r="G11" s="24"/>
      <c r="H11" s="25"/>
    </row>
    <row r="12" spans="1:11" s="18" customFormat="1" ht="24" customHeight="1">
      <c r="A12" s="26" t="s">
        <v>28</v>
      </c>
      <c r="B12" s="26" t="s">
        <v>14</v>
      </c>
      <c r="C12" s="15" t="s">
        <v>8</v>
      </c>
      <c r="D12" s="16">
        <v>1</v>
      </c>
      <c r="E12" s="17"/>
      <c r="F12" s="27">
        <f t="shared" si="0"/>
        <v>0</v>
      </c>
      <c r="G12" s="24"/>
      <c r="H12" s="25"/>
    </row>
    <row r="13" spans="1:11" s="18" customFormat="1" ht="24" customHeight="1">
      <c r="A13" s="26" t="s">
        <v>29</v>
      </c>
      <c r="B13" s="26" t="s">
        <v>17</v>
      </c>
      <c r="C13" s="15" t="s">
        <v>8</v>
      </c>
      <c r="D13" s="16">
        <v>1</v>
      </c>
      <c r="E13" s="17"/>
      <c r="F13" s="72">
        <f t="shared" si="0"/>
        <v>0</v>
      </c>
      <c r="G13" s="24"/>
      <c r="H13" s="25"/>
    </row>
    <row r="14" spans="1:11" s="18" customFormat="1" ht="24" customHeight="1">
      <c r="A14" s="26" t="s">
        <v>30</v>
      </c>
      <c r="B14" s="26" t="s">
        <v>19</v>
      </c>
      <c r="C14" s="15" t="s">
        <v>8</v>
      </c>
      <c r="D14" s="16">
        <v>1</v>
      </c>
      <c r="E14" s="17"/>
      <c r="F14" s="72">
        <f>+D14*E14</f>
        <v>0</v>
      </c>
      <c r="G14" s="24"/>
      <c r="H14" s="25"/>
    </row>
    <row r="15" spans="1:11" s="18" customFormat="1" ht="24" customHeight="1">
      <c r="A15" s="78" t="s">
        <v>23</v>
      </c>
      <c r="B15" s="79" t="s">
        <v>22</v>
      </c>
      <c r="C15" s="80"/>
      <c r="D15" s="81"/>
      <c r="E15" s="82"/>
      <c r="F15" s="83"/>
      <c r="G15" s="24"/>
      <c r="H15" s="25"/>
    </row>
    <row r="16" spans="1:11" s="18" customFormat="1" ht="24" customHeight="1">
      <c r="A16" s="73" t="s">
        <v>31</v>
      </c>
      <c r="B16" s="26" t="s">
        <v>20</v>
      </c>
      <c r="C16" s="15" t="s">
        <v>8</v>
      </c>
      <c r="D16" s="16">
        <v>1</v>
      </c>
      <c r="E16" s="17"/>
      <c r="F16" s="72">
        <f t="shared" si="0"/>
        <v>0</v>
      </c>
      <c r="G16" s="24"/>
      <c r="H16" s="25"/>
    </row>
    <row r="17" spans="1:8" s="50" customFormat="1" ht="24" customHeight="1" thickBot="1">
      <c r="A17" s="61"/>
      <c r="B17" s="62" t="s">
        <v>7</v>
      </c>
      <c r="C17" s="63"/>
      <c r="D17" s="64"/>
      <c r="E17" s="64"/>
      <c r="F17" s="65">
        <f>SUM(F8:F16)</f>
        <v>0</v>
      </c>
      <c r="G17" s="48"/>
      <c r="H17" s="49"/>
    </row>
    <row r="18" spans="1:8" s="18" customFormat="1" ht="24" customHeight="1">
      <c r="A18" s="28"/>
      <c r="B18" s="45"/>
      <c r="C18" s="46"/>
      <c r="D18" s="47"/>
      <c r="E18" s="47"/>
      <c r="F18" s="56"/>
      <c r="G18" s="24"/>
      <c r="H18" s="25"/>
    </row>
    <row r="19" spans="1:8" s="18" customFormat="1" ht="24" customHeight="1">
      <c r="A19" s="28"/>
      <c r="B19" s="45"/>
      <c r="C19" s="46"/>
      <c r="D19" s="47"/>
      <c r="E19" s="47"/>
      <c r="F19" s="56"/>
      <c r="G19" s="24"/>
      <c r="H19" s="25"/>
    </row>
    <row r="20" spans="1:8" ht="24" customHeight="1" thickBot="1">
      <c r="A20" s="58"/>
      <c r="B20" s="60"/>
      <c r="C20" s="28"/>
      <c r="D20" s="57"/>
      <c r="E20" s="25"/>
      <c r="F20" s="59"/>
    </row>
    <row r="21" spans="1:8" ht="24" customHeight="1">
      <c r="A21" s="29"/>
      <c r="B21" s="30" t="s">
        <v>9</v>
      </c>
      <c r="C21" s="29"/>
      <c r="D21" s="93" t="s">
        <v>1</v>
      </c>
      <c r="E21" s="94"/>
      <c r="F21" s="51">
        <f>SUM(F17)</f>
        <v>0</v>
      </c>
    </row>
    <row r="22" spans="1:8" ht="24" customHeight="1">
      <c r="A22" s="29"/>
      <c r="B22" s="99"/>
      <c r="C22" s="31"/>
      <c r="D22" s="32"/>
      <c r="E22" s="33" t="s">
        <v>2</v>
      </c>
      <c r="F22" s="34">
        <f>ROUND(F21*D22,0)</f>
        <v>0</v>
      </c>
    </row>
    <row r="23" spans="1:8" ht="24" customHeight="1">
      <c r="A23" s="29"/>
      <c r="B23" s="99"/>
      <c r="C23" s="31"/>
      <c r="D23" s="35"/>
      <c r="E23" s="33" t="s">
        <v>3</v>
      </c>
      <c r="F23" s="34">
        <f>ROUND(F21*D23,0)</f>
        <v>0</v>
      </c>
    </row>
    <row r="24" spans="1:8" ht="24" customHeight="1">
      <c r="A24" s="29"/>
      <c r="B24" s="99"/>
      <c r="C24" s="29"/>
      <c r="D24" s="95" t="s">
        <v>4</v>
      </c>
      <c r="E24" s="96"/>
      <c r="F24" s="37">
        <f>ROUND(F21+F22+F23,0)</f>
        <v>0</v>
      </c>
    </row>
    <row r="25" spans="1:8" ht="24" customHeight="1" thickBot="1">
      <c r="A25" s="29"/>
      <c r="B25" s="99"/>
      <c r="C25" s="29"/>
      <c r="D25" s="38">
        <v>0.19</v>
      </c>
      <c r="E25" s="39" t="s">
        <v>5</v>
      </c>
      <c r="F25" s="40">
        <f>ROUND(F24*D25,0)</f>
        <v>0</v>
      </c>
    </row>
    <row r="26" spans="1:8" ht="24" customHeight="1" thickBot="1">
      <c r="A26" s="29"/>
      <c r="B26" s="30"/>
      <c r="C26" s="29"/>
      <c r="D26" s="97" t="s">
        <v>6</v>
      </c>
      <c r="E26" s="98"/>
      <c r="F26" s="41">
        <f>(F24+F25)</f>
        <v>0</v>
      </c>
    </row>
    <row r="27" spans="1:8" ht="24" customHeight="1">
      <c r="A27" s="42"/>
      <c r="B27" s="42"/>
      <c r="C27" s="43"/>
      <c r="D27" s="42"/>
      <c r="E27" s="42"/>
      <c r="F27" s="42"/>
    </row>
    <row r="28" spans="1:8">
      <c r="A28" s="4"/>
      <c r="C28" s="4"/>
      <c r="D28" s="7"/>
    </row>
    <row r="29" spans="1:8">
      <c r="A29" s="4"/>
      <c r="C29" s="4"/>
      <c r="D29" s="7"/>
    </row>
    <row r="30" spans="1:8">
      <c r="A30" s="4"/>
      <c r="C30" s="4"/>
      <c r="D30" s="7"/>
    </row>
    <row r="31" spans="1:8">
      <c r="A31" s="4"/>
      <c r="C31" s="4"/>
      <c r="D31" s="7"/>
    </row>
    <row r="32" spans="1:8">
      <c r="A32" s="52"/>
      <c r="B32" s="52"/>
      <c r="C32" s="52"/>
      <c r="D32" s="53"/>
      <c r="E32" s="52"/>
      <c r="F32" s="52"/>
    </row>
    <row r="33" spans="1:6" ht="14.25">
      <c r="A33" s="52"/>
      <c r="B33" s="29"/>
      <c r="C33" s="36"/>
      <c r="D33" s="92"/>
      <c r="E33" s="92"/>
      <c r="F33" s="92"/>
    </row>
    <row r="34" spans="1:6" ht="14.25">
      <c r="A34" s="52"/>
      <c r="B34" s="29"/>
      <c r="C34" s="36"/>
      <c r="D34" s="54"/>
      <c r="E34" s="43"/>
      <c r="F34" s="52"/>
    </row>
    <row r="35" spans="1:6">
      <c r="A35" s="52"/>
      <c r="B35" s="53"/>
      <c r="C35" s="55"/>
      <c r="D35" s="54"/>
      <c r="E35" s="43"/>
      <c r="F35" s="52"/>
    </row>
    <row r="36" spans="1:6">
      <c r="A36" s="4"/>
      <c r="B36" s="53"/>
      <c r="C36" s="55"/>
      <c r="D36" s="54"/>
      <c r="E36" s="53"/>
      <c r="F36" s="52"/>
    </row>
    <row r="37" spans="1:6" ht="14.25">
      <c r="A37" s="91" t="s">
        <v>15</v>
      </c>
      <c r="B37" s="91"/>
      <c r="C37" s="55"/>
      <c r="D37" s="54"/>
      <c r="E37" s="53"/>
      <c r="F37" s="52"/>
    </row>
    <row r="38" spans="1:6">
      <c r="A38" s="4"/>
    </row>
    <row r="42" spans="1:6">
      <c r="B42" s="44"/>
    </row>
    <row r="45" spans="1:6">
      <c r="C45" s="4"/>
    </row>
    <row r="46" spans="1:6">
      <c r="C46" s="4"/>
    </row>
    <row r="47" spans="1:6">
      <c r="A47" s="42"/>
      <c r="B47" s="42"/>
      <c r="C47" s="43"/>
      <c r="D47" s="42"/>
      <c r="E47" s="42"/>
      <c r="F47" s="42"/>
    </row>
    <row r="48" spans="1:6">
      <c r="A48" s="42"/>
      <c r="B48" s="42"/>
      <c r="C48" s="43"/>
      <c r="D48" s="42"/>
      <c r="E48" s="42"/>
      <c r="F48" s="42"/>
    </row>
    <row r="49" spans="1:6">
      <c r="A49" s="42"/>
      <c r="B49" s="42"/>
      <c r="C49" s="43"/>
      <c r="D49" s="42"/>
      <c r="E49" s="42"/>
      <c r="F49" s="42"/>
    </row>
  </sheetData>
  <mergeCells count="9">
    <mergeCell ref="A1:F1"/>
    <mergeCell ref="A3:F3"/>
    <mergeCell ref="A2:F2"/>
    <mergeCell ref="A37:B37"/>
    <mergeCell ref="D33:F33"/>
    <mergeCell ref="D21:E21"/>
    <mergeCell ref="D24:E24"/>
    <mergeCell ref="D26:E26"/>
    <mergeCell ref="B22:B25"/>
  </mergeCells>
  <phoneticPr fontId="15" type="noConversion"/>
  <printOptions horizontalCentered="1"/>
  <pageMargins left="0.74803149606299213" right="0.74803149606299213" top="0.82677165354330717" bottom="0.59055118110236227" header="0" footer="0"/>
  <pageSetup scale="73" fitToHeight="0" orientation="portrait" horizontalDpi="300" verticalDpi="300" r:id="rId1"/>
  <headerFooter alignWithMargins="0">
    <oddHeader xml:space="preserve">&amp;L&amp;G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ITEMIZADO</vt:lpstr>
      <vt:lpstr>ITEMIZADO!Área_de_impresión</vt:lpstr>
    </vt:vector>
  </TitlesOfParts>
  <Company>MINEDUC - Informática DEM Angol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ws_</cp:lastModifiedBy>
  <cp:lastPrinted>2026-07-08T14:42:33Z</cp:lastPrinted>
  <dcterms:created xsi:type="dcterms:W3CDTF">2020-10-28T12:46:47Z</dcterms:created>
  <dcterms:modified xsi:type="dcterms:W3CDTF">2026-07-13T15:14:25Z</dcterms:modified>
</cp:coreProperties>
</file>