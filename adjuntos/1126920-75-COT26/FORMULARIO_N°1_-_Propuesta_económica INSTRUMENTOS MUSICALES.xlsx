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iscilla.tapia\OneDrive - Servicio Local de Educación Pública de Colchagua\Escritorio\2026\COMPRA AGIL\Instrumentos Musicales\"/>
    </mc:Choice>
  </mc:AlternateContent>
  <xr:revisionPtr revIDLastSave="0" documentId="13_ncr:1_{628331E8-6C13-49FA-AD46-39650CDD7A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ulario N°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rXREHaY0dMVjF0eGzJskK/BjxNqvQoTw6XGso6A3EY="/>
    </ext>
  </extLst>
</workbook>
</file>

<file path=xl/calcChain.xml><?xml version="1.0" encoding="utf-8"?>
<calcChain xmlns="http://schemas.openxmlformats.org/spreadsheetml/2006/main">
  <c r="H88" i="1" l="1"/>
  <c r="H89" i="1" l="1"/>
  <c r="H90" i="1" s="1"/>
</calcChain>
</file>

<file path=xl/sharedStrings.xml><?xml version="1.0" encoding="utf-8"?>
<sst xmlns="http://schemas.openxmlformats.org/spreadsheetml/2006/main" count="165" uniqueCount="100">
  <si>
    <t>FORMULARIO N°1</t>
  </si>
  <si>
    <t>OFERTA DEL PROVEEDOR</t>
  </si>
  <si>
    <t>NOMBRE O RAZÓN SOCIAL</t>
  </si>
  <si>
    <t>RUT</t>
  </si>
  <si>
    <t>DIRECCIÓN</t>
  </si>
  <si>
    <t>TELÉFONO</t>
  </si>
  <si>
    <t>CORREO ELECTRÓNICO</t>
  </si>
  <si>
    <t>Ítem N°</t>
  </si>
  <si>
    <t>Establecimiento</t>
  </si>
  <si>
    <t>Descripción del producto</t>
  </si>
  <si>
    <t>Cantidad solicitada</t>
  </si>
  <si>
    <t>Cantidad ofertada</t>
  </si>
  <si>
    <t>Precio unitario neto</t>
  </si>
  <si>
    <t>Subtotal neto</t>
  </si>
  <si>
    <t>Total neto</t>
  </si>
  <si>
    <t>IVA</t>
  </si>
  <si>
    <t>Total IVA incluido</t>
  </si>
  <si>
    <r>
      <rPr>
        <b/>
        <sz val="10"/>
        <color rgb="FF000000"/>
        <rFont val="Arial"/>
      </rPr>
      <t xml:space="preserve">Recordar: </t>
    </r>
    <r>
      <rPr>
        <sz val="10"/>
        <color rgb="FF000000"/>
        <rFont val="Arial"/>
      </rPr>
      <t xml:space="preserve"> Que debe ser despachado en cajas separados por establecimiento (SET por colegio), los eventuales costos por entrega de los productos y/o servicios deben ser asumidos por el oferente, por lo tanto, debe incluirlos en su propuesta económica.</t>
    </r>
  </si>
  <si>
    <t>TIEMPO DE ENTREGA DE LOS INSUMOS DESDE EL ENVÍO DE LA ORDEN DE COMPRA 
(desde el llamado al requerimiento a la intervención del servicio).</t>
  </si>
  <si>
    <t>FIRMA PROVEEDOR O REPRESENTANTE LEGAL</t>
  </si>
  <si>
    <t>San Fernando, _______ de ________________ de 2026</t>
  </si>
  <si>
    <t>Escuela Básica Puquillay</t>
  </si>
  <si>
    <t>MELODICAS 32 NOTAS</t>
  </si>
  <si>
    <t xml:space="preserve">FLAUTA DULCE  </t>
  </si>
  <si>
    <t>Guitarra Acústica Clásica</t>
  </si>
  <si>
    <t xml:space="preserve">MATALOFONO 25 NOTAS </t>
  </si>
  <si>
    <t>Escuela Dany Germán González Soto</t>
  </si>
  <si>
    <t>METALÓFONO ESCOLAR WOLFEN CROMÁTICO 25 NOTAS CON BAQUETAS UNIDAD</t>
  </si>
  <si>
    <t>Set Instrumentos Musicales Para Niños Epic Mod N106</t>
  </si>
  <si>
    <t>Teclado Yamaha Psr-e383 Negro</t>
  </si>
  <si>
    <t>Escuela De Peor Es Nada</t>
  </si>
  <si>
    <t>Guitarras sevillanas</t>
  </si>
  <si>
    <t>Escuela Huemul</t>
  </si>
  <si>
    <t>CAJA DIRECTA PASIVA DB02 ARTIC</t>
  </si>
  <si>
    <t xml:space="preserve">Cable Microfono xlr (Cable Micrófono Kirlin Xlr Mpc-280 20 Metros) </t>
  </si>
  <si>
    <t>Ukelele Electroacustico Con Funda Scorpion</t>
  </si>
  <si>
    <t>Bombo Leguero Armus 12 Pulgadas</t>
  </si>
  <si>
    <t>Melódica Teclado 32 Notas + Boquilla + Estuche Maletin /azul</t>
  </si>
  <si>
    <t>Microfono Condensador</t>
  </si>
  <si>
    <t>Microfonos Beringher</t>
  </si>
  <si>
    <t>Cable de Microfono 10 Mts</t>
  </si>
  <si>
    <t>Escuela Olegario Lazo Baeza</t>
  </si>
  <si>
    <t xml:space="preserve">Cable Hdmi 4k Uhd V 2.0 10 Metros De Alta Velocidad </t>
  </si>
  <si>
    <t>Guira Metálica 32 Cms Con Peine Color Gris</t>
  </si>
  <si>
    <t>Set De Cuerdas De Guitarra Clásica Hendrix Hx0037 0.28 Nylon</t>
  </si>
  <si>
    <t>Bajo eléctrico Freeman SPB-304 Negro</t>
  </si>
  <si>
    <t>Mazo De Percusion</t>
  </si>
  <si>
    <t>Parlante Bluetooth Soundcore 6w de Sonido Estéreo Con Subwoofer Inalámbrico Bluetooth (anker)</t>
  </si>
  <si>
    <t>Bar Chimes 36 Notas Completo Con Soporte De Aluminio</t>
  </si>
  <si>
    <t>Par de Baquetas de Plástico para Metalófono Uso Musical Escolar</t>
  </si>
  <si>
    <t>Bombo Leguero Rmx 14´ Pulgadas</t>
  </si>
  <si>
    <t>Cable De Instrumento 15 Mt Plug Plug Kirlin</t>
  </si>
  <si>
    <t>AMPLIFICADOR DE GUITARRA COMBO PEAVEY RAGE 158 o equivalente</t>
  </si>
  <si>
    <t>AMPLIFICADOR DE BAJO COMBO PEAVEY MAX 158</t>
  </si>
  <si>
    <t>Teclado Musical Fussen Melodica 37 Azul Con Funda Mlab</t>
  </si>
  <si>
    <t>Flauta Dulce Soprano Digitacion Alemana 9508 Hohner Amarillo</t>
  </si>
  <si>
    <t>Teclado personal Casio CTK-3500 con fuente de poder Color Negro o equivalente</t>
  </si>
  <si>
    <t>Par De Claves Madera 20 Centímetros</t>
  </si>
  <si>
    <t>Escuela Pedro Etcheverry</t>
  </si>
  <si>
    <t>flauta dulce</t>
  </si>
  <si>
    <t>Escuela Raúl Cáceres Pacheco</t>
  </si>
  <si>
    <t>repuesto para melódica, manguera , boquilla lubeck pm01</t>
  </si>
  <si>
    <t>Escuela Santa Eugenia</t>
  </si>
  <si>
    <t>Micrófono Ambiental Mekse Negro</t>
  </si>
  <si>
    <t>bajo eléctrico Freeman SPB-304 Blanco o equivalente</t>
  </si>
  <si>
    <t>Triangulo Metalico 4 Pulgadas Rmx</t>
  </si>
  <si>
    <t>Escuela Santa Valentina</t>
  </si>
  <si>
    <t>Metalófono Cromático Xilófono 25 Notas Con Maleta</t>
  </si>
  <si>
    <t>Melódica 32 Notas Fussen + Estuche + Boquilla Black – 8763 o equivalente</t>
  </si>
  <si>
    <t>Flauta Dulce Plástica Motarro Escolar Digitación Alemana Con Estuche o equivalente</t>
  </si>
  <si>
    <t>Escuela Tinguiririca Estación</t>
  </si>
  <si>
    <t>cajón peruano estudio Sp natural</t>
  </si>
  <si>
    <t>Bongo 6 + 7 natural Aed-6667 Rmx Beige</t>
  </si>
  <si>
    <t xml:space="preserve">guitarraelectroacústica la sevillana 6300 para diestros naturalHendrix 20 x 20 cm </t>
  </si>
  <si>
    <t>Escuela Washington Venegas Oliva</t>
  </si>
  <si>
    <t>BONGO TROPICANA</t>
  </si>
  <si>
    <t>GUITARRA ACUSTICA</t>
  </si>
  <si>
    <t>PACK MICROFONO,CABLE, PEDESTAL</t>
  </si>
  <si>
    <t>Escuela Yaquil</t>
  </si>
  <si>
    <t xml:space="preserve">MATALOFONO 22 NOTAS </t>
  </si>
  <si>
    <t>Triangulo Metálico 4 Pulgadas Rmx</t>
  </si>
  <si>
    <t>Liceo Juan Pablo II</t>
  </si>
  <si>
    <t>cuardas bajo ernie ball</t>
  </si>
  <si>
    <t>cuerdas guitarra clásica ernie ball</t>
  </si>
  <si>
    <t>bajo eléctrico freeman  spb- 304 sunburst</t>
  </si>
  <si>
    <t>guitarra eléctrica ibanez go grz70qa</t>
  </si>
  <si>
    <t xml:space="preserve">cuerdas guitarra eléctrica  ernie ball </t>
  </si>
  <si>
    <t>Liceo San Francisco</t>
  </si>
  <si>
    <t>Guitarra Acústica Eko 3/4 Cs-5 Sunburst Ideal Para Niños</t>
  </si>
  <si>
    <t>Corneta De Latón Chapada</t>
  </si>
  <si>
    <t>PAR DE MARACAS</t>
  </si>
  <si>
    <t>PARES DE BAQUETAS METALÓFONOS</t>
  </si>
  <si>
    <t>Cunaco</t>
  </si>
  <si>
    <t>Pito de Banda Cromado + boquilla modelo B etinger Pifano</t>
  </si>
  <si>
    <t>Parche Poroso Bordonero 1 capa density Series Williams 14</t>
  </si>
  <si>
    <t>Parche Bordonero 3 mm Clear Series Williams</t>
  </si>
  <si>
    <t>Boquilla Trompeta Baldassare</t>
  </si>
  <si>
    <t>Par de Baquetas Blancas para Banda Madera Maple RD-100 RMX</t>
  </si>
  <si>
    <t>Guaripola Modelo GB-10 RMX CROM/Blanco</t>
  </si>
  <si>
    <t>Colgador Lira Mod, Clr-20 RMX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</si>
</sst>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_-;_-@"/>
  </numFmts>
  <fonts count="18">
    <font>
      <sz val="10"/>
      <color rgb="FF000000"/>
      <name val="Arial"/>
      <scheme val="minor"/>
    </font>
    <font>
      <sz val="8"/>
      <color theme="1"/>
      <name val="Century Gothic"/>
    </font>
    <font>
      <sz val="8"/>
      <color rgb="FF000000"/>
      <name val="Century Gothic"/>
    </font>
    <font>
      <sz val="10"/>
      <color theme="1"/>
      <name val="Arial"/>
    </font>
    <font>
      <b/>
      <sz val="11"/>
      <color rgb="FF000000"/>
      <name val="'Century Gothic'"/>
    </font>
    <font>
      <b/>
      <sz val="10"/>
      <color rgb="FF000000"/>
      <name val="'Century Gothic'"/>
    </font>
    <font>
      <b/>
      <sz val="8"/>
      <color rgb="FFFFFFFF"/>
      <name val="Century Gothic"/>
    </font>
    <font>
      <sz val="10"/>
      <name val="Arial"/>
    </font>
    <font>
      <b/>
      <sz val="8"/>
      <color rgb="FF000000"/>
      <name val="Century Gothic"/>
    </font>
    <font>
      <b/>
      <sz val="8"/>
      <color theme="1"/>
      <name val="Century Gothic"/>
    </font>
    <font>
      <b/>
      <sz val="10"/>
      <color rgb="FF000000"/>
      <name val="Century Gothic"/>
    </font>
    <font>
      <sz val="10"/>
      <color rgb="FF000000"/>
      <name val="Century Gothic"/>
    </font>
    <font>
      <b/>
      <sz val="9"/>
      <color rgb="FF000000"/>
      <name val="'Century Gothic'"/>
    </font>
    <font>
      <sz val="9"/>
      <color rgb="FF000000"/>
      <name val="'Century Gothic'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vertical="center"/>
    </xf>
    <xf numFmtId="164" fontId="2" fillId="0" borderId="4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right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164" fontId="9" fillId="3" borderId="6" xfId="0" applyNumberFormat="1" applyFont="1" applyFill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right" vertical="center"/>
    </xf>
    <xf numFmtId="164" fontId="6" fillId="2" borderId="7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4" fillId="0" borderId="0" xfId="0" applyFont="1" applyAlignment="1">
      <alignment horizontal="center" wrapText="1"/>
    </xf>
    <xf numFmtId="0" fontId="1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0" fillId="0" borderId="0" xfId="0"/>
    <xf numFmtId="0" fontId="6" fillId="2" borderId="1" xfId="0" applyFont="1" applyFill="1" applyBorder="1" applyAlignment="1">
      <alignment horizontal="left" vertical="center"/>
    </xf>
    <xf numFmtId="0" fontId="7" fillId="0" borderId="2" xfId="0" applyFont="1" applyBorder="1"/>
    <xf numFmtId="0" fontId="12" fillId="4" borderId="0" xfId="0" applyFont="1" applyFill="1" applyAlignment="1">
      <alignment wrapText="1"/>
    </xf>
    <xf numFmtId="0" fontId="1" fillId="0" borderId="8" xfId="0" applyFont="1" applyBorder="1" applyAlignment="1">
      <alignment vertical="center"/>
    </xf>
    <xf numFmtId="0" fontId="7" fillId="0" borderId="3" xfId="0" applyFont="1" applyBorder="1"/>
    <xf numFmtId="0" fontId="7" fillId="0" borderId="4" xfId="0" applyFont="1" applyBorder="1"/>
    <xf numFmtId="0" fontId="13" fillId="0" borderId="2" xfId="0" applyFont="1" applyBorder="1" applyAlignment="1">
      <alignment horizontal="center" wrapText="1"/>
    </xf>
    <xf numFmtId="0" fontId="17" fillId="0" borderId="9" xfId="0" applyFont="1" applyBorder="1" applyAlignment="1">
      <alignment horizontal="left" vertical="center" wrapText="1" indent="2"/>
    </xf>
    <xf numFmtId="0" fontId="17" fillId="0" borderId="10" xfId="0" applyFont="1" applyBorder="1" applyAlignment="1">
      <alignment vertical="center" wrapText="1"/>
    </xf>
    <xf numFmtId="0" fontId="17" fillId="0" borderId="10" xfId="0" applyFont="1" applyBorder="1" applyAlignment="1">
      <alignment horizontal="left" vertical="center" wrapText="1" indent="2"/>
    </xf>
    <xf numFmtId="0" fontId="2" fillId="0" borderId="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7" fillId="0" borderId="11" xfId="0" applyFont="1" applyBorder="1" applyAlignment="1">
      <alignment vertical="center" wrapText="1"/>
    </xf>
    <xf numFmtId="0" fontId="17" fillId="0" borderId="11" xfId="0" applyFont="1" applyBorder="1" applyAlignment="1">
      <alignment horizontal="left" vertical="center" wrapText="1" indent="2"/>
    </xf>
    <xf numFmtId="164" fontId="6" fillId="2" borderId="19" xfId="0" applyNumberFormat="1" applyFont="1" applyFill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vertical="center"/>
    </xf>
    <xf numFmtId="0" fontId="17" fillId="0" borderId="18" xfId="0" applyFont="1" applyBorder="1" applyAlignment="1">
      <alignment horizontal="left" vertical="center" wrapText="1" indent="2"/>
    </xf>
    <xf numFmtId="0" fontId="17" fillId="0" borderId="12" xfId="0" applyFont="1" applyBorder="1" applyAlignment="1">
      <alignment horizontal="left" vertical="center" wrapText="1" indent="2"/>
    </xf>
    <xf numFmtId="0" fontId="17" fillId="0" borderId="13" xfId="0" applyFont="1" applyBorder="1" applyAlignment="1">
      <alignment horizontal="left" vertical="center" wrapText="1" indent="2"/>
    </xf>
    <xf numFmtId="0" fontId="17" fillId="0" borderId="20" xfId="0" applyFont="1" applyBorder="1" applyAlignment="1">
      <alignment horizontal="left" vertical="center" wrapText="1" indent="2"/>
    </xf>
    <xf numFmtId="0" fontId="17" fillId="0" borderId="21" xfId="0" applyFont="1" applyBorder="1" applyAlignment="1">
      <alignment horizontal="left" vertical="center" wrapText="1" indent="2"/>
    </xf>
    <xf numFmtId="0" fontId="17" fillId="0" borderId="22" xfId="0" applyFont="1" applyBorder="1" applyAlignment="1">
      <alignment horizontal="left" vertical="center" wrapText="1" indent="2"/>
    </xf>
    <xf numFmtId="0" fontId="17" fillId="0" borderId="23" xfId="0" applyFont="1" applyBorder="1" applyAlignment="1">
      <alignment horizontal="left" vertical="center" wrapText="1" indent="2"/>
    </xf>
    <xf numFmtId="0" fontId="17" fillId="0" borderId="24" xfId="0" applyFont="1" applyBorder="1" applyAlignment="1">
      <alignment horizontal="left" vertical="center" wrapText="1" indent="2"/>
    </xf>
    <xf numFmtId="0" fontId="17" fillId="0" borderId="25" xfId="0" applyFont="1" applyBorder="1" applyAlignment="1">
      <alignment horizontal="left" vertical="center" wrapText="1" indent="2"/>
    </xf>
    <xf numFmtId="0" fontId="2" fillId="0" borderId="15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260"/>
  <sheetViews>
    <sheetView showGridLines="0" tabSelected="1" topLeftCell="A45" zoomScaleNormal="100" workbookViewId="0">
      <selection activeCell="D58" sqref="D58"/>
    </sheetView>
  </sheetViews>
  <sheetFormatPr baseColWidth="10" defaultColWidth="12.5703125" defaultRowHeight="15" customHeight="1"/>
  <cols>
    <col min="1" max="1" width="7.28515625" customWidth="1"/>
    <col min="2" max="2" width="3.85546875" customWidth="1"/>
    <col min="3" max="3" width="34.28515625" customWidth="1"/>
    <col min="4" max="4" width="27.28515625" customWidth="1"/>
    <col min="5" max="5" width="10" customWidth="1"/>
    <col min="6" max="7" width="10.42578125" customWidth="1"/>
    <col min="8" max="8" width="13.5703125" customWidth="1"/>
    <col min="10" max="10" width="5.5703125" customWidth="1"/>
    <col min="11" max="11" width="9.85546875" customWidth="1"/>
  </cols>
  <sheetData>
    <row r="1" spans="1:26" ht="13.5">
      <c r="A1" s="1"/>
      <c r="B1" s="2"/>
      <c r="C1" s="3"/>
      <c r="D1" s="3"/>
      <c r="E1" s="2"/>
      <c r="F1" s="4"/>
      <c r="G1" s="5"/>
      <c r="H1" s="5"/>
      <c r="I1" s="1"/>
      <c r="J1" s="1"/>
      <c r="K1" s="1"/>
      <c r="L1" s="1"/>
      <c r="M1" s="1"/>
      <c r="N1" s="1"/>
      <c r="O1" s="1"/>
      <c r="P1" s="1"/>
      <c r="Q1" s="1"/>
      <c r="R1" s="6"/>
      <c r="S1" s="6"/>
      <c r="T1" s="6"/>
      <c r="U1" s="6"/>
      <c r="V1" s="6"/>
      <c r="W1" s="6"/>
      <c r="X1" s="6"/>
      <c r="Y1" s="6"/>
      <c r="Z1" s="6"/>
    </row>
    <row r="2" spans="1:26" ht="13.5">
      <c r="A2" s="1"/>
      <c r="B2" s="2"/>
      <c r="C2" s="3"/>
      <c r="D2" s="3"/>
      <c r="E2" s="2"/>
      <c r="F2" s="4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6"/>
      <c r="S2" s="6"/>
      <c r="T2" s="6"/>
      <c r="U2" s="6"/>
      <c r="V2" s="6"/>
      <c r="W2" s="6"/>
      <c r="X2" s="6"/>
      <c r="Y2" s="6"/>
      <c r="Z2" s="6"/>
    </row>
    <row r="3" spans="1:26">
      <c r="A3" s="1"/>
      <c r="B3" s="2"/>
      <c r="C3" s="3"/>
      <c r="D3" s="7" t="s">
        <v>0</v>
      </c>
      <c r="E3" s="2"/>
      <c r="F3" s="4"/>
      <c r="G3" s="5"/>
      <c r="H3" s="5"/>
      <c r="I3" s="1"/>
      <c r="J3" s="1"/>
      <c r="K3" s="1"/>
      <c r="L3" s="1"/>
      <c r="M3" s="1"/>
      <c r="N3" s="1"/>
      <c r="O3" s="1"/>
      <c r="P3" s="1"/>
      <c r="Q3" s="1"/>
      <c r="R3" s="6"/>
      <c r="S3" s="6"/>
      <c r="T3" s="6"/>
      <c r="U3" s="6"/>
      <c r="V3" s="6"/>
      <c r="W3" s="6"/>
      <c r="X3" s="6"/>
      <c r="Y3" s="6"/>
      <c r="Z3" s="6"/>
    </row>
    <row r="4" spans="1:26">
      <c r="A4" s="1"/>
      <c r="B4" s="2"/>
      <c r="C4" s="3"/>
      <c r="D4" s="7"/>
      <c r="E4" s="2"/>
      <c r="F4" s="4"/>
      <c r="G4" s="5"/>
      <c r="H4" s="5"/>
      <c r="I4" s="1"/>
      <c r="J4" s="1"/>
      <c r="K4" s="1"/>
      <c r="L4" s="1"/>
      <c r="M4" s="1"/>
      <c r="N4" s="1"/>
      <c r="O4" s="1"/>
      <c r="P4" s="1"/>
      <c r="Q4" s="1"/>
      <c r="R4" s="6"/>
      <c r="S4" s="6"/>
      <c r="T4" s="6"/>
      <c r="U4" s="6"/>
      <c r="V4" s="6"/>
      <c r="W4" s="6"/>
      <c r="X4" s="6"/>
      <c r="Y4" s="6"/>
      <c r="Z4" s="6"/>
    </row>
    <row r="5" spans="1:26" ht="13.5">
      <c r="A5" s="1"/>
      <c r="B5" s="2"/>
      <c r="C5" s="3"/>
      <c r="D5" s="8" t="s">
        <v>1</v>
      </c>
      <c r="E5" s="2"/>
      <c r="F5" s="4"/>
      <c r="G5" s="5"/>
      <c r="H5" s="5"/>
      <c r="I5" s="1"/>
      <c r="J5" s="1"/>
      <c r="K5" s="1"/>
      <c r="L5" s="1"/>
      <c r="M5" s="1"/>
      <c r="N5" s="1"/>
      <c r="O5" s="1"/>
      <c r="P5" s="1"/>
      <c r="Q5" s="1"/>
      <c r="R5" s="6"/>
      <c r="S5" s="6"/>
      <c r="T5" s="6"/>
      <c r="U5" s="6"/>
      <c r="V5" s="6"/>
      <c r="W5" s="6"/>
      <c r="X5" s="6"/>
      <c r="Y5" s="6"/>
      <c r="Z5" s="6"/>
    </row>
    <row r="6" spans="1:26" ht="13.5">
      <c r="A6" s="1"/>
      <c r="B6" s="2"/>
      <c r="C6" s="3"/>
      <c r="D6" s="8"/>
      <c r="E6" s="2"/>
      <c r="F6" s="4"/>
      <c r="G6" s="5"/>
      <c r="H6" s="5"/>
      <c r="I6" s="1"/>
      <c r="J6" s="1"/>
      <c r="K6" s="1"/>
      <c r="L6" s="1"/>
      <c r="M6" s="1"/>
      <c r="N6" s="1"/>
      <c r="O6" s="1"/>
      <c r="P6" s="1"/>
      <c r="Q6" s="1"/>
      <c r="R6" s="6"/>
      <c r="S6" s="6"/>
      <c r="T6" s="6"/>
      <c r="U6" s="6"/>
      <c r="V6" s="6"/>
      <c r="W6" s="6"/>
      <c r="X6" s="6"/>
      <c r="Y6" s="6"/>
      <c r="Z6" s="6"/>
    </row>
    <row r="7" spans="1:26" ht="13.5">
      <c r="A7" s="1"/>
      <c r="B7" s="2"/>
      <c r="C7" s="3"/>
      <c r="D7" s="3"/>
      <c r="E7" s="2"/>
      <c r="F7" s="4"/>
      <c r="G7" s="5"/>
      <c r="H7" s="5"/>
      <c r="I7" s="1"/>
      <c r="J7" s="1"/>
      <c r="K7" s="1"/>
      <c r="L7" s="1"/>
      <c r="M7" s="1"/>
      <c r="N7" s="1"/>
      <c r="O7" s="1"/>
      <c r="P7" s="1"/>
      <c r="Q7" s="1"/>
      <c r="R7" s="6"/>
      <c r="S7" s="6"/>
      <c r="T7" s="6"/>
      <c r="U7" s="6"/>
      <c r="V7" s="6"/>
      <c r="W7" s="6"/>
      <c r="X7" s="6"/>
      <c r="Y7" s="6"/>
      <c r="Z7" s="6"/>
    </row>
    <row r="8" spans="1:26" ht="13.5">
      <c r="A8" s="1"/>
      <c r="B8" s="33" t="s">
        <v>2</v>
      </c>
      <c r="C8" s="34"/>
      <c r="D8" s="9"/>
      <c r="E8" s="9"/>
      <c r="F8" s="10"/>
      <c r="G8" s="11"/>
      <c r="H8" s="12"/>
      <c r="I8" s="1"/>
      <c r="J8" s="1"/>
      <c r="K8" s="1"/>
      <c r="L8" s="1"/>
      <c r="M8" s="1"/>
      <c r="N8" s="1"/>
      <c r="O8" s="1"/>
      <c r="P8" s="1"/>
      <c r="Q8" s="1"/>
      <c r="R8" s="6"/>
      <c r="S8" s="6"/>
      <c r="T8" s="6"/>
      <c r="U8" s="6"/>
      <c r="V8" s="6"/>
      <c r="W8" s="6"/>
      <c r="X8" s="6"/>
      <c r="Y8" s="6"/>
      <c r="Z8" s="6"/>
    </row>
    <row r="9" spans="1:26" ht="13.5">
      <c r="A9" s="1"/>
      <c r="B9" s="33" t="s">
        <v>3</v>
      </c>
      <c r="C9" s="34"/>
      <c r="D9" s="9"/>
      <c r="E9" s="9"/>
      <c r="F9" s="9"/>
      <c r="G9" s="9"/>
      <c r="H9" s="12"/>
      <c r="I9" s="1"/>
      <c r="J9" s="1"/>
      <c r="K9" s="1"/>
      <c r="L9" s="1"/>
      <c r="M9" s="1"/>
      <c r="N9" s="1"/>
      <c r="O9" s="1"/>
      <c r="P9" s="1"/>
      <c r="Q9" s="1"/>
      <c r="R9" s="6"/>
      <c r="S9" s="6"/>
      <c r="T9" s="6"/>
      <c r="U9" s="6"/>
      <c r="V9" s="6"/>
      <c r="W9" s="6"/>
      <c r="X9" s="6"/>
      <c r="Y9" s="6"/>
      <c r="Z9" s="6"/>
    </row>
    <row r="10" spans="1:26" ht="13.5">
      <c r="A10" s="1"/>
      <c r="B10" s="33" t="s">
        <v>4</v>
      </c>
      <c r="C10" s="34"/>
      <c r="D10" s="9"/>
      <c r="E10" s="9"/>
      <c r="F10" s="9"/>
      <c r="G10" s="9"/>
      <c r="H10" s="12"/>
      <c r="I10" s="1"/>
      <c r="J10" s="1"/>
      <c r="K10" s="1"/>
      <c r="L10" s="1"/>
      <c r="M10" s="1"/>
      <c r="N10" s="1"/>
      <c r="O10" s="1"/>
      <c r="P10" s="1"/>
      <c r="Q10" s="1"/>
      <c r="R10" s="6"/>
      <c r="S10" s="6"/>
      <c r="T10" s="6"/>
      <c r="U10" s="6"/>
      <c r="V10" s="6"/>
      <c r="W10" s="6"/>
      <c r="X10" s="6"/>
      <c r="Y10" s="6"/>
      <c r="Z10" s="6"/>
    </row>
    <row r="11" spans="1:26" ht="13.5">
      <c r="A11" s="1"/>
      <c r="B11" s="33" t="s">
        <v>5</v>
      </c>
      <c r="C11" s="34"/>
      <c r="D11" s="9"/>
      <c r="E11" s="9"/>
      <c r="F11" s="9"/>
      <c r="G11" s="9"/>
      <c r="H11" s="12"/>
      <c r="I11" s="1"/>
      <c r="J11" s="1"/>
      <c r="K11" s="1"/>
      <c r="L11" s="1"/>
      <c r="M11" s="1"/>
      <c r="N11" s="1"/>
      <c r="O11" s="1"/>
      <c r="P11" s="1"/>
      <c r="Q11" s="1"/>
      <c r="R11" s="6"/>
      <c r="S11" s="6"/>
      <c r="T11" s="6"/>
      <c r="U11" s="6"/>
      <c r="V11" s="6"/>
      <c r="W11" s="6"/>
      <c r="X11" s="6"/>
      <c r="Y11" s="6"/>
      <c r="Z11" s="6"/>
    </row>
    <row r="12" spans="1:26" ht="13.5">
      <c r="A12" s="1"/>
      <c r="B12" s="33" t="s">
        <v>6</v>
      </c>
      <c r="C12" s="34"/>
      <c r="D12" s="9"/>
      <c r="E12" s="9"/>
      <c r="F12" s="9"/>
      <c r="G12" s="9"/>
      <c r="H12" s="12"/>
      <c r="I12" s="1"/>
      <c r="J12" s="1"/>
      <c r="K12" s="1"/>
      <c r="L12" s="1"/>
      <c r="M12" s="1"/>
      <c r="N12" s="1"/>
      <c r="O12" s="1"/>
      <c r="P12" s="1"/>
      <c r="Q12" s="1"/>
      <c r="R12" s="6"/>
      <c r="S12" s="6"/>
      <c r="T12" s="6"/>
      <c r="U12" s="6"/>
      <c r="V12" s="6"/>
      <c r="W12" s="6"/>
      <c r="X12" s="6"/>
      <c r="Y12" s="6"/>
      <c r="Z12" s="6"/>
    </row>
    <row r="13" spans="1:26" ht="13.5">
      <c r="A13" s="1"/>
      <c r="B13" s="2"/>
      <c r="C13" s="3"/>
      <c r="D13" s="3"/>
      <c r="E13" s="2"/>
      <c r="F13" s="2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6"/>
      <c r="S13" s="6"/>
      <c r="T13" s="6"/>
      <c r="U13" s="6"/>
      <c r="V13" s="6"/>
      <c r="W13" s="6"/>
      <c r="X13" s="6"/>
      <c r="Y13" s="6"/>
      <c r="Z13" s="6"/>
    </row>
    <row r="14" spans="1:26" ht="13.5">
      <c r="A14" s="1"/>
      <c r="B14" s="13"/>
      <c r="C14" s="3"/>
      <c r="D14" s="14"/>
      <c r="E14" s="15"/>
      <c r="F14" s="15"/>
      <c r="G14" s="16"/>
      <c r="H14" s="16"/>
      <c r="I14" s="1"/>
      <c r="J14" s="1"/>
      <c r="K14" s="1"/>
      <c r="L14" s="1"/>
      <c r="M14" s="1"/>
      <c r="N14" s="1"/>
      <c r="O14" s="1"/>
      <c r="P14" s="1"/>
      <c r="Q14" s="1"/>
      <c r="R14" s="6"/>
      <c r="S14" s="6"/>
      <c r="T14" s="6"/>
      <c r="U14" s="6"/>
      <c r="V14" s="6"/>
      <c r="W14" s="6"/>
      <c r="X14" s="6"/>
      <c r="Y14" s="6"/>
      <c r="Z14" s="6"/>
    </row>
    <row r="15" spans="1:26" ht="39" thickBot="1">
      <c r="A15" s="1"/>
      <c r="B15" s="17" t="s">
        <v>7</v>
      </c>
      <c r="C15" s="18" t="s">
        <v>8</v>
      </c>
      <c r="D15" s="18" t="s">
        <v>9</v>
      </c>
      <c r="E15" s="17" t="s">
        <v>10</v>
      </c>
      <c r="F15" s="19" t="s">
        <v>11</v>
      </c>
      <c r="G15" s="20" t="s">
        <v>12</v>
      </c>
      <c r="H15" s="20" t="s">
        <v>13</v>
      </c>
      <c r="I15" s="1"/>
      <c r="J15" s="1"/>
      <c r="K15" s="1"/>
      <c r="L15" s="1"/>
      <c r="M15" s="1"/>
      <c r="N15" s="1"/>
      <c r="O15" s="1"/>
      <c r="P15" s="1"/>
      <c r="Q15" s="1"/>
      <c r="R15" s="6"/>
      <c r="S15" s="6"/>
      <c r="T15" s="6"/>
      <c r="U15" s="6"/>
      <c r="V15" s="6"/>
      <c r="W15" s="6"/>
      <c r="X15" s="6"/>
      <c r="Y15" s="6"/>
      <c r="Z15" s="6"/>
    </row>
    <row r="16" spans="1:26" s="44" customFormat="1" ht="13.5" customHeight="1">
      <c r="A16" s="43">
        <v>1</v>
      </c>
      <c r="B16" s="43">
        <v>1</v>
      </c>
      <c r="C16" s="50" t="s">
        <v>21</v>
      </c>
      <c r="D16" s="56" t="s">
        <v>22</v>
      </c>
      <c r="E16" s="60">
        <v>13</v>
      </c>
      <c r="F16" s="63"/>
      <c r="G16" s="64"/>
      <c r="H16" s="65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s="44" customFormat="1" ht="12.75" customHeight="1">
      <c r="A17" s="43"/>
      <c r="B17" s="43">
        <v>1</v>
      </c>
      <c r="C17" s="51" t="s">
        <v>21</v>
      </c>
      <c r="D17" s="57" t="s">
        <v>23</v>
      </c>
      <c r="E17" s="61">
        <v>21</v>
      </c>
      <c r="F17" s="66"/>
      <c r="G17" s="49"/>
      <c r="H17" s="67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s="44" customFormat="1" ht="12.75" customHeight="1">
      <c r="A18" s="43"/>
      <c r="B18" s="43">
        <v>1</v>
      </c>
      <c r="C18" s="51" t="s">
        <v>21</v>
      </c>
      <c r="D18" s="57" t="s">
        <v>24</v>
      </c>
      <c r="E18" s="61">
        <v>3</v>
      </c>
      <c r="F18" s="66"/>
      <c r="G18" s="49"/>
      <c r="H18" s="67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s="44" customFormat="1" ht="12.75" customHeight="1" thickBot="1">
      <c r="A19" s="43"/>
      <c r="B19" s="43">
        <v>1</v>
      </c>
      <c r="C19" s="52" t="s">
        <v>21</v>
      </c>
      <c r="D19" s="58" t="s">
        <v>25</v>
      </c>
      <c r="E19" s="62">
        <v>8</v>
      </c>
      <c r="F19" s="68"/>
      <c r="G19" s="69"/>
      <c r="H19" s="70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s="44" customFormat="1" ht="38.25" customHeight="1">
      <c r="A20" s="43"/>
      <c r="B20" s="43">
        <v>1</v>
      </c>
      <c r="C20" s="51" t="s">
        <v>26</v>
      </c>
      <c r="D20" s="53" t="s">
        <v>27</v>
      </c>
      <c r="E20" s="60">
        <v>15</v>
      </c>
      <c r="F20" s="63"/>
      <c r="G20" s="64"/>
      <c r="H20" s="65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s="44" customFormat="1" ht="41.25" customHeight="1">
      <c r="A21" s="43"/>
      <c r="B21" s="43">
        <v>1</v>
      </c>
      <c r="C21" s="51" t="s">
        <v>26</v>
      </c>
      <c r="D21" s="54" t="s">
        <v>28</v>
      </c>
      <c r="E21" s="61">
        <v>2</v>
      </c>
      <c r="F21" s="66"/>
      <c r="G21" s="49"/>
      <c r="H21" s="67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s="44" customFormat="1" ht="30.75" customHeight="1" thickBot="1">
      <c r="A22" s="43"/>
      <c r="B22" s="43">
        <v>1</v>
      </c>
      <c r="C22" s="51" t="s">
        <v>26</v>
      </c>
      <c r="D22" s="55" t="s">
        <v>29</v>
      </c>
      <c r="E22" s="62">
        <v>1</v>
      </c>
      <c r="F22" s="68"/>
      <c r="G22" s="69"/>
      <c r="H22" s="70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s="44" customFormat="1" ht="21" customHeight="1">
      <c r="A23" s="43"/>
      <c r="B23" s="43">
        <v>1</v>
      </c>
      <c r="C23" s="50" t="s">
        <v>30</v>
      </c>
      <c r="D23" s="53" t="s">
        <v>31</v>
      </c>
      <c r="E23" s="60">
        <v>4</v>
      </c>
      <c r="F23" s="63"/>
      <c r="G23" s="64"/>
      <c r="H23" s="65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s="44" customFormat="1" ht="26.25" customHeight="1" thickBot="1">
      <c r="A24" s="43"/>
      <c r="B24" s="43">
        <v>1</v>
      </c>
      <c r="C24" s="51" t="s">
        <v>30</v>
      </c>
      <c r="D24" s="55" t="s">
        <v>22</v>
      </c>
      <c r="E24" s="62">
        <v>6</v>
      </c>
      <c r="F24" s="68"/>
      <c r="G24" s="69"/>
      <c r="H24" s="70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s="44" customFormat="1" ht="27">
      <c r="A25" s="43"/>
      <c r="B25" s="43">
        <v>1</v>
      </c>
      <c r="C25" s="50" t="s">
        <v>32</v>
      </c>
      <c r="D25" s="53" t="s">
        <v>33</v>
      </c>
      <c r="E25" s="60">
        <v>2</v>
      </c>
      <c r="F25" s="63"/>
      <c r="G25" s="64"/>
      <c r="H25" s="65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s="44" customFormat="1" ht="40.5">
      <c r="A26" s="43"/>
      <c r="B26" s="43">
        <v>1</v>
      </c>
      <c r="C26" s="51" t="s">
        <v>32</v>
      </c>
      <c r="D26" s="54" t="s">
        <v>34</v>
      </c>
      <c r="E26" s="61">
        <v>2</v>
      </c>
      <c r="F26" s="66"/>
      <c r="G26" s="49"/>
      <c r="H26" s="67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s="44" customFormat="1" ht="27">
      <c r="A27" s="43"/>
      <c r="B27" s="43">
        <v>1</v>
      </c>
      <c r="C27" s="51" t="s">
        <v>32</v>
      </c>
      <c r="D27" s="54" t="s">
        <v>35</v>
      </c>
      <c r="E27" s="61">
        <v>1</v>
      </c>
      <c r="F27" s="66"/>
      <c r="G27" s="49"/>
      <c r="H27" s="67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s="44" customFormat="1" ht="27">
      <c r="A28" s="43"/>
      <c r="B28" s="43">
        <v>1</v>
      </c>
      <c r="C28" s="51" t="s">
        <v>32</v>
      </c>
      <c r="D28" s="54" t="s">
        <v>36</v>
      </c>
      <c r="E28" s="61">
        <v>1</v>
      </c>
      <c r="F28" s="71"/>
      <c r="G28" s="59"/>
      <c r="H28" s="67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s="44" customFormat="1" ht="40.5">
      <c r="A29" s="43"/>
      <c r="B29" s="43">
        <v>1</v>
      </c>
      <c r="C29" s="51" t="s">
        <v>32</v>
      </c>
      <c r="D29" s="54" t="s">
        <v>37</v>
      </c>
      <c r="E29" s="61">
        <v>3</v>
      </c>
      <c r="F29" s="66"/>
      <c r="G29" s="49"/>
      <c r="H29" s="67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s="44" customFormat="1" ht="13.5">
      <c r="A30" s="43"/>
      <c r="B30" s="43">
        <v>1</v>
      </c>
      <c r="C30" s="51" t="s">
        <v>32</v>
      </c>
      <c r="D30" s="54" t="s">
        <v>38</v>
      </c>
      <c r="E30" s="61">
        <v>1</v>
      </c>
      <c r="F30" s="66"/>
      <c r="G30" s="49"/>
      <c r="H30" s="67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s="44" customFormat="1" ht="13.5">
      <c r="A31" s="43"/>
      <c r="B31" s="43">
        <v>1</v>
      </c>
      <c r="C31" s="51" t="s">
        <v>32</v>
      </c>
      <c r="D31" s="54" t="s">
        <v>39</v>
      </c>
      <c r="E31" s="61">
        <v>4</v>
      </c>
      <c r="F31" s="66"/>
      <c r="G31" s="49"/>
      <c r="H31" s="67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s="44" customFormat="1" ht="27.75" thickBot="1">
      <c r="A32" s="43"/>
      <c r="B32" s="43">
        <v>1</v>
      </c>
      <c r="C32" s="51" t="s">
        <v>32</v>
      </c>
      <c r="D32" s="55" t="s">
        <v>40</v>
      </c>
      <c r="E32" s="62">
        <v>2</v>
      </c>
      <c r="F32" s="68"/>
      <c r="G32" s="69"/>
      <c r="H32" s="70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s="44" customFormat="1" ht="40.5">
      <c r="A33" s="43"/>
      <c r="B33" s="43">
        <v>1</v>
      </c>
      <c r="C33" s="40" t="s">
        <v>41</v>
      </c>
      <c r="D33" s="53" t="s">
        <v>42</v>
      </c>
      <c r="E33" s="60">
        <v>2</v>
      </c>
      <c r="F33" s="63"/>
      <c r="G33" s="64"/>
      <c r="H33" s="65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s="44" customFormat="1" ht="27">
      <c r="A34" s="43"/>
      <c r="B34" s="43">
        <v>1</v>
      </c>
      <c r="C34" s="42" t="s">
        <v>41</v>
      </c>
      <c r="D34" s="54" t="s">
        <v>43</v>
      </c>
      <c r="E34" s="61">
        <v>2</v>
      </c>
      <c r="F34" s="66"/>
      <c r="G34" s="49"/>
      <c r="H34" s="67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s="44" customFormat="1" ht="40.5">
      <c r="A35" s="43"/>
      <c r="B35" s="43">
        <v>1</v>
      </c>
      <c r="C35" s="42" t="s">
        <v>41</v>
      </c>
      <c r="D35" s="54" t="s">
        <v>44</v>
      </c>
      <c r="E35" s="61">
        <v>6</v>
      </c>
      <c r="F35" s="66"/>
      <c r="G35" s="49"/>
      <c r="H35" s="67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s="44" customFormat="1" ht="27">
      <c r="A36" s="43"/>
      <c r="B36" s="43">
        <v>1</v>
      </c>
      <c r="C36" s="42" t="s">
        <v>41</v>
      </c>
      <c r="D36" s="54" t="s">
        <v>45</v>
      </c>
      <c r="E36" s="61">
        <v>1</v>
      </c>
      <c r="F36" s="66"/>
      <c r="G36" s="49"/>
      <c r="H36" s="67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s="44" customFormat="1" ht="13.5">
      <c r="A37" s="43"/>
      <c r="B37" s="43">
        <v>1</v>
      </c>
      <c r="C37" s="42" t="s">
        <v>41</v>
      </c>
      <c r="D37" s="54" t="s">
        <v>46</v>
      </c>
      <c r="E37" s="61">
        <v>2</v>
      </c>
      <c r="F37" s="66"/>
      <c r="G37" s="49"/>
      <c r="H37" s="67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s="44" customFormat="1" ht="67.5">
      <c r="A38" s="43"/>
      <c r="B38" s="43">
        <v>1</v>
      </c>
      <c r="C38" s="42" t="s">
        <v>41</v>
      </c>
      <c r="D38" s="54" t="s">
        <v>47</v>
      </c>
      <c r="E38" s="61">
        <v>2</v>
      </c>
      <c r="F38" s="66"/>
      <c r="G38" s="49"/>
      <c r="H38" s="67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s="44" customFormat="1" ht="40.5">
      <c r="A39" s="43"/>
      <c r="B39" s="43">
        <v>1</v>
      </c>
      <c r="C39" s="42" t="s">
        <v>41</v>
      </c>
      <c r="D39" s="54" t="s">
        <v>48</v>
      </c>
      <c r="E39" s="61">
        <v>1</v>
      </c>
      <c r="F39" s="66"/>
      <c r="G39" s="49"/>
      <c r="H39" s="67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s="44" customFormat="1" ht="54">
      <c r="A40" s="43"/>
      <c r="B40" s="43">
        <v>1</v>
      </c>
      <c r="C40" s="42" t="s">
        <v>41</v>
      </c>
      <c r="D40" s="54" t="s">
        <v>49</v>
      </c>
      <c r="E40" s="61">
        <v>18</v>
      </c>
      <c r="F40" s="66"/>
      <c r="G40" s="49"/>
      <c r="H40" s="67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s="44" customFormat="1" ht="27">
      <c r="A41" s="43"/>
      <c r="B41" s="43">
        <v>1</v>
      </c>
      <c r="C41" s="42" t="s">
        <v>41</v>
      </c>
      <c r="D41" s="54" t="s">
        <v>50</v>
      </c>
      <c r="E41" s="61">
        <v>1</v>
      </c>
      <c r="F41" s="66"/>
      <c r="G41" s="49"/>
      <c r="H41" s="67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s="44" customFormat="1" ht="27">
      <c r="A42" s="43"/>
      <c r="B42" s="43">
        <v>1</v>
      </c>
      <c r="C42" s="42" t="s">
        <v>41</v>
      </c>
      <c r="D42" s="54" t="s">
        <v>51</v>
      </c>
      <c r="E42" s="61">
        <v>3</v>
      </c>
      <c r="F42" s="66"/>
      <c r="G42" s="49"/>
      <c r="H42" s="67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s="44" customFormat="1" ht="54">
      <c r="A43" s="43"/>
      <c r="B43" s="43">
        <v>1</v>
      </c>
      <c r="C43" s="42" t="s">
        <v>41</v>
      </c>
      <c r="D43" s="54" t="s">
        <v>52</v>
      </c>
      <c r="E43" s="61">
        <v>1</v>
      </c>
      <c r="F43" s="66"/>
      <c r="G43" s="49"/>
      <c r="H43" s="67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s="44" customFormat="1" ht="40.5">
      <c r="A44" s="43"/>
      <c r="B44" s="43">
        <v>1</v>
      </c>
      <c r="C44" s="42" t="s">
        <v>41</v>
      </c>
      <c r="D44" s="54" t="s">
        <v>53</v>
      </c>
      <c r="E44" s="61">
        <v>1</v>
      </c>
      <c r="F44" s="66"/>
      <c r="G44" s="49"/>
      <c r="H44" s="67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s="44" customFormat="1" ht="40.5">
      <c r="A45" s="43"/>
      <c r="B45" s="43">
        <v>1</v>
      </c>
      <c r="C45" s="42" t="s">
        <v>41</v>
      </c>
      <c r="D45" s="54" t="s">
        <v>54</v>
      </c>
      <c r="E45" s="61">
        <v>6</v>
      </c>
      <c r="F45" s="66"/>
      <c r="G45" s="49"/>
      <c r="H45" s="67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s="44" customFormat="1" ht="45" customHeight="1">
      <c r="A46" s="43"/>
      <c r="B46" s="43">
        <v>1</v>
      </c>
      <c r="C46" s="42" t="s">
        <v>41</v>
      </c>
      <c r="D46" s="54" t="s">
        <v>55</v>
      </c>
      <c r="E46" s="61">
        <v>6</v>
      </c>
      <c r="F46" s="66"/>
      <c r="G46" s="49"/>
      <c r="H46" s="67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s="44" customFormat="1" ht="54">
      <c r="A47" s="43"/>
      <c r="B47" s="43">
        <v>1</v>
      </c>
      <c r="C47" s="41" t="s">
        <v>41</v>
      </c>
      <c r="D47" s="54" t="s">
        <v>56</v>
      </c>
      <c r="E47" s="61">
        <v>1</v>
      </c>
      <c r="F47" s="66"/>
      <c r="G47" s="49"/>
      <c r="H47" s="67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s="44" customFormat="1" ht="27.75" thickBot="1">
      <c r="A48" s="43"/>
      <c r="B48" s="43">
        <v>1</v>
      </c>
      <c r="C48" s="45" t="s">
        <v>41</v>
      </c>
      <c r="D48" s="55" t="s">
        <v>57</v>
      </c>
      <c r="E48" s="62">
        <v>1</v>
      </c>
      <c r="F48" s="68"/>
      <c r="G48" s="69"/>
      <c r="H48" s="70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s="44" customFormat="1" ht="12.75" customHeight="1">
      <c r="A49" s="43"/>
      <c r="B49" s="43">
        <v>1</v>
      </c>
      <c r="C49" s="51" t="s">
        <v>58</v>
      </c>
      <c r="D49" s="53" t="s">
        <v>25</v>
      </c>
      <c r="E49" s="60">
        <v>10</v>
      </c>
      <c r="F49" s="63"/>
      <c r="G49" s="64"/>
      <c r="H49" s="65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s="44" customFormat="1" ht="14.25" thickBot="1">
      <c r="A50" s="43"/>
      <c r="B50" s="43">
        <v>1</v>
      </c>
      <c r="C50" s="51" t="s">
        <v>58</v>
      </c>
      <c r="D50" s="55" t="s">
        <v>59</v>
      </c>
      <c r="E50" s="62">
        <v>10</v>
      </c>
      <c r="F50" s="68"/>
      <c r="G50" s="69"/>
      <c r="H50" s="70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s="44" customFormat="1" ht="12.75" customHeight="1">
      <c r="A51" s="43"/>
      <c r="B51" s="43">
        <v>1</v>
      </c>
      <c r="C51" s="50" t="s">
        <v>60</v>
      </c>
      <c r="D51" s="53" t="s">
        <v>25</v>
      </c>
      <c r="E51" s="60">
        <v>30</v>
      </c>
      <c r="F51" s="63"/>
      <c r="G51" s="64"/>
      <c r="H51" s="65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s="44" customFormat="1" ht="41.25" thickBot="1">
      <c r="A52" s="43"/>
      <c r="B52" s="43">
        <v>1</v>
      </c>
      <c r="C52" s="51" t="s">
        <v>60</v>
      </c>
      <c r="D52" s="55" t="s">
        <v>61</v>
      </c>
      <c r="E52" s="62">
        <v>50</v>
      </c>
      <c r="F52" s="68"/>
      <c r="G52" s="69"/>
      <c r="H52" s="70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s="44" customFormat="1" ht="27">
      <c r="A53" s="43"/>
      <c r="B53" s="43">
        <v>1</v>
      </c>
      <c r="C53" s="50" t="s">
        <v>62</v>
      </c>
      <c r="D53" s="53" t="s">
        <v>63</v>
      </c>
      <c r="E53" s="60">
        <v>2</v>
      </c>
      <c r="F53" s="63"/>
      <c r="G53" s="64"/>
      <c r="H53" s="65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s="44" customFormat="1" ht="40.5">
      <c r="A54" s="43"/>
      <c r="B54" s="43">
        <v>1</v>
      </c>
      <c r="C54" s="51" t="s">
        <v>62</v>
      </c>
      <c r="D54" s="54" t="s">
        <v>64</v>
      </c>
      <c r="E54" s="61">
        <v>1</v>
      </c>
      <c r="F54" s="66"/>
      <c r="G54" s="49"/>
      <c r="H54" s="67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s="44" customFormat="1" ht="27.75" thickBot="1">
      <c r="A55" s="43"/>
      <c r="B55" s="43">
        <v>1</v>
      </c>
      <c r="C55" s="51" t="s">
        <v>62</v>
      </c>
      <c r="D55" s="55" t="s">
        <v>65</v>
      </c>
      <c r="E55" s="62">
        <v>10</v>
      </c>
      <c r="F55" s="68"/>
      <c r="G55" s="69"/>
      <c r="H55" s="70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s="44" customFormat="1" ht="40.5">
      <c r="A56" s="43"/>
      <c r="B56" s="43">
        <v>1</v>
      </c>
      <c r="C56" s="50" t="s">
        <v>66</v>
      </c>
      <c r="D56" s="53" t="s">
        <v>67</v>
      </c>
      <c r="E56" s="60">
        <v>12</v>
      </c>
      <c r="F56" s="63"/>
      <c r="G56" s="64"/>
      <c r="H56" s="65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s="44" customFormat="1" ht="54">
      <c r="A57" s="43"/>
      <c r="B57" s="43">
        <v>1</v>
      </c>
      <c r="C57" s="51" t="s">
        <v>66</v>
      </c>
      <c r="D57" s="54" t="s">
        <v>68</v>
      </c>
      <c r="E57" s="61">
        <v>6</v>
      </c>
      <c r="F57" s="66"/>
      <c r="G57" s="49"/>
      <c r="H57" s="67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s="44" customFormat="1" ht="68.25" thickBot="1">
      <c r="A58" s="43"/>
      <c r="B58" s="43">
        <v>1</v>
      </c>
      <c r="C58" s="51" t="s">
        <v>66</v>
      </c>
      <c r="D58" s="55" t="s">
        <v>69</v>
      </c>
      <c r="E58" s="62">
        <v>12</v>
      </c>
      <c r="F58" s="68"/>
      <c r="G58" s="69"/>
      <c r="H58" s="70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s="44" customFormat="1" ht="27">
      <c r="A59" s="43"/>
      <c r="B59" s="43">
        <v>1</v>
      </c>
      <c r="C59" s="50" t="s">
        <v>70</v>
      </c>
      <c r="D59" s="53" t="s">
        <v>71</v>
      </c>
      <c r="E59" s="60">
        <v>1</v>
      </c>
      <c r="F59" s="63"/>
      <c r="G59" s="64"/>
      <c r="H59" s="65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s="44" customFormat="1" ht="27">
      <c r="A60" s="43"/>
      <c r="B60" s="43">
        <v>1</v>
      </c>
      <c r="C60" s="51" t="s">
        <v>70</v>
      </c>
      <c r="D60" s="54" t="s">
        <v>72</v>
      </c>
      <c r="E60" s="61">
        <v>1</v>
      </c>
      <c r="F60" s="66"/>
      <c r="G60" s="49"/>
      <c r="H60" s="67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s="44" customFormat="1" ht="54.75" thickBot="1">
      <c r="A61" s="43"/>
      <c r="B61" s="43">
        <v>1</v>
      </c>
      <c r="C61" s="51" t="s">
        <v>70</v>
      </c>
      <c r="D61" s="55" t="s">
        <v>73</v>
      </c>
      <c r="E61" s="62">
        <v>1</v>
      </c>
      <c r="F61" s="68"/>
      <c r="G61" s="69"/>
      <c r="H61" s="70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s="44" customFormat="1" ht="27">
      <c r="A62" s="43"/>
      <c r="B62" s="43">
        <v>1</v>
      </c>
      <c r="C62" s="50" t="s">
        <v>74</v>
      </c>
      <c r="D62" s="53" t="s">
        <v>75</v>
      </c>
      <c r="E62" s="60">
        <v>1</v>
      </c>
      <c r="F62" s="63"/>
      <c r="G62" s="64"/>
      <c r="H62" s="65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s="44" customFormat="1" ht="27">
      <c r="A63" s="43"/>
      <c r="B63" s="43">
        <v>1</v>
      </c>
      <c r="C63" s="51" t="s">
        <v>74</v>
      </c>
      <c r="D63" s="54" t="s">
        <v>76</v>
      </c>
      <c r="E63" s="61">
        <v>1</v>
      </c>
      <c r="F63" s="66"/>
      <c r="G63" s="49"/>
      <c r="H63" s="67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s="44" customFormat="1" ht="12.75" customHeight="1">
      <c r="A64" s="43"/>
      <c r="B64" s="43">
        <v>1</v>
      </c>
      <c r="C64" s="51" t="s">
        <v>74</v>
      </c>
      <c r="D64" s="54" t="s">
        <v>25</v>
      </c>
      <c r="E64" s="61">
        <v>3</v>
      </c>
      <c r="F64" s="66"/>
      <c r="G64" s="49"/>
      <c r="H64" s="67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s="44" customFormat="1" ht="40.5">
      <c r="A65" s="43"/>
      <c r="B65" s="43">
        <v>1</v>
      </c>
      <c r="C65" s="51" t="s">
        <v>74</v>
      </c>
      <c r="D65" s="54" t="s">
        <v>64</v>
      </c>
      <c r="E65" s="61">
        <v>1</v>
      </c>
      <c r="F65" s="66"/>
      <c r="G65" s="49"/>
      <c r="H65" s="67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s="44" customFormat="1" ht="40.5">
      <c r="A66" s="43"/>
      <c r="B66" s="43">
        <v>1</v>
      </c>
      <c r="C66" s="51" t="s">
        <v>74</v>
      </c>
      <c r="D66" s="54" t="s">
        <v>77</v>
      </c>
      <c r="E66" s="61">
        <v>2</v>
      </c>
      <c r="F66" s="66"/>
      <c r="G66" s="49"/>
      <c r="H66" s="67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s="44" customFormat="1" ht="41.25" thickBot="1">
      <c r="A67" s="43"/>
      <c r="B67" s="43">
        <v>1</v>
      </c>
      <c r="C67" s="51" t="s">
        <v>74</v>
      </c>
      <c r="D67" s="55" t="s">
        <v>53</v>
      </c>
      <c r="E67" s="62">
        <v>1</v>
      </c>
      <c r="F67" s="68"/>
      <c r="G67" s="69"/>
      <c r="H67" s="70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s="44" customFormat="1" ht="13.5">
      <c r="A68" s="43"/>
      <c r="B68" s="43">
        <v>1</v>
      </c>
      <c r="C68" s="50" t="s">
        <v>78</v>
      </c>
      <c r="D68" s="53" t="s">
        <v>79</v>
      </c>
      <c r="E68" s="60">
        <v>8</v>
      </c>
      <c r="F68" s="63"/>
      <c r="G68" s="64"/>
      <c r="H68" s="65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s="44" customFormat="1" ht="27.75" thickBot="1">
      <c r="A69" s="43"/>
      <c r="B69" s="43">
        <v>1</v>
      </c>
      <c r="C69" s="51" t="s">
        <v>78</v>
      </c>
      <c r="D69" s="55" t="s">
        <v>80</v>
      </c>
      <c r="E69" s="62">
        <v>8</v>
      </c>
      <c r="F69" s="68"/>
      <c r="G69" s="69"/>
      <c r="H69" s="70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s="44" customFormat="1" ht="14.25" thickBot="1">
      <c r="A70" s="43"/>
      <c r="B70" s="43">
        <v>1</v>
      </c>
      <c r="C70" s="50" t="s">
        <v>81</v>
      </c>
      <c r="D70" s="53" t="s">
        <v>82</v>
      </c>
      <c r="E70" s="60">
        <v>5</v>
      </c>
      <c r="F70" s="72"/>
      <c r="G70" s="73"/>
      <c r="H70" s="7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s="44" customFormat="1" ht="27">
      <c r="A71" s="43"/>
      <c r="B71" s="43">
        <v>1</v>
      </c>
      <c r="C71" s="51" t="s">
        <v>81</v>
      </c>
      <c r="D71" s="54" t="s">
        <v>83</v>
      </c>
      <c r="E71" s="61">
        <v>5</v>
      </c>
      <c r="F71" s="63"/>
      <c r="G71" s="64"/>
      <c r="H71" s="65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s="44" customFormat="1" ht="27">
      <c r="A72" s="43"/>
      <c r="B72" s="43">
        <v>1</v>
      </c>
      <c r="C72" s="51" t="s">
        <v>81</v>
      </c>
      <c r="D72" s="54" t="s">
        <v>84</v>
      </c>
      <c r="E72" s="61">
        <v>1</v>
      </c>
      <c r="F72" s="66"/>
      <c r="G72" s="49"/>
      <c r="H72" s="67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s="44" customFormat="1" ht="27">
      <c r="A73" s="43"/>
      <c r="B73" s="43">
        <v>1</v>
      </c>
      <c r="C73" s="51" t="s">
        <v>81</v>
      </c>
      <c r="D73" s="54" t="s">
        <v>85</v>
      </c>
      <c r="E73" s="61">
        <v>1</v>
      </c>
      <c r="F73" s="66"/>
      <c r="G73" s="49"/>
      <c r="H73" s="67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s="44" customFormat="1" ht="27.75" thickBot="1">
      <c r="A74" s="43"/>
      <c r="B74" s="43">
        <v>1</v>
      </c>
      <c r="C74" s="51" t="s">
        <v>81</v>
      </c>
      <c r="D74" s="55" t="s">
        <v>86</v>
      </c>
      <c r="E74" s="62">
        <v>5</v>
      </c>
      <c r="F74" s="68"/>
      <c r="G74" s="69"/>
      <c r="H74" s="70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s="44" customFormat="1" ht="40.5">
      <c r="A75" s="43"/>
      <c r="B75" s="43">
        <v>1</v>
      </c>
      <c r="C75" s="50" t="s">
        <v>87</v>
      </c>
      <c r="D75" s="53" t="s">
        <v>88</v>
      </c>
      <c r="E75" s="60">
        <v>4</v>
      </c>
      <c r="F75" s="63"/>
      <c r="G75" s="64"/>
      <c r="H75" s="65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s="44" customFormat="1" ht="12.75" customHeight="1">
      <c r="A76" s="43"/>
      <c r="B76" s="43">
        <v>1</v>
      </c>
      <c r="C76" s="51" t="s">
        <v>87</v>
      </c>
      <c r="D76" s="54" t="s">
        <v>89</v>
      </c>
      <c r="E76" s="61">
        <v>4</v>
      </c>
      <c r="F76" s="66"/>
      <c r="G76" s="49"/>
      <c r="H76" s="67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s="44" customFormat="1" ht="12.75" customHeight="1">
      <c r="A77" s="43"/>
      <c r="B77" s="43">
        <v>1</v>
      </c>
      <c r="C77" s="51" t="s">
        <v>87</v>
      </c>
      <c r="D77" s="54" t="s">
        <v>90</v>
      </c>
      <c r="E77" s="61">
        <v>5</v>
      </c>
      <c r="F77" s="66"/>
      <c r="G77" s="49"/>
      <c r="H77" s="67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s="44" customFormat="1" ht="27">
      <c r="A78" s="43"/>
      <c r="B78" s="43">
        <v>1</v>
      </c>
      <c r="C78" s="51" t="s">
        <v>87</v>
      </c>
      <c r="D78" s="54" t="s">
        <v>65</v>
      </c>
      <c r="E78" s="61">
        <v>5</v>
      </c>
      <c r="F78" s="66"/>
      <c r="G78" s="49"/>
      <c r="H78" s="67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s="44" customFormat="1" ht="27">
      <c r="A79" s="43"/>
      <c r="B79" s="43">
        <v>1</v>
      </c>
      <c r="C79" s="51" t="s">
        <v>87</v>
      </c>
      <c r="D79" s="54" t="s">
        <v>91</v>
      </c>
      <c r="E79" s="61">
        <v>5</v>
      </c>
      <c r="F79" s="66"/>
      <c r="G79" s="49"/>
      <c r="H79" s="67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s="44" customFormat="1" ht="14.25" thickBot="1">
      <c r="A80" s="43"/>
      <c r="B80" s="43">
        <v>1</v>
      </c>
      <c r="C80" s="51" t="s">
        <v>87</v>
      </c>
      <c r="D80" s="55" t="s">
        <v>25</v>
      </c>
      <c r="E80" s="62">
        <v>5</v>
      </c>
      <c r="F80" s="68"/>
      <c r="G80" s="69"/>
      <c r="H80" s="70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s="44" customFormat="1" ht="40.5">
      <c r="A81" s="43"/>
      <c r="B81" s="43">
        <v>1</v>
      </c>
      <c r="C81" s="40" t="s">
        <v>92</v>
      </c>
      <c r="D81" s="53" t="s">
        <v>93</v>
      </c>
      <c r="E81" s="60">
        <v>7</v>
      </c>
      <c r="F81" s="63"/>
      <c r="G81" s="64"/>
      <c r="H81" s="65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s="44" customFormat="1" ht="40.5">
      <c r="A82" s="43"/>
      <c r="B82" s="43">
        <v>1</v>
      </c>
      <c r="C82" s="42" t="s">
        <v>92</v>
      </c>
      <c r="D82" s="54" t="s">
        <v>94</v>
      </c>
      <c r="E82" s="61">
        <v>10</v>
      </c>
      <c r="F82" s="66"/>
      <c r="G82" s="49"/>
      <c r="H82" s="67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s="44" customFormat="1" ht="27">
      <c r="A83" s="43"/>
      <c r="B83" s="43">
        <v>1</v>
      </c>
      <c r="C83" s="42" t="s">
        <v>92</v>
      </c>
      <c r="D83" s="54" t="s">
        <v>95</v>
      </c>
      <c r="E83" s="61">
        <v>10</v>
      </c>
      <c r="F83" s="66"/>
      <c r="G83" s="49"/>
      <c r="H83" s="67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s="44" customFormat="1" ht="27">
      <c r="A84" s="43"/>
      <c r="B84" s="43">
        <v>1</v>
      </c>
      <c r="C84" s="42" t="s">
        <v>92</v>
      </c>
      <c r="D84" s="54" t="s">
        <v>96</v>
      </c>
      <c r="E84" s="61">
        <v>6</v>
      </c>
      <c r="F84" s="66"/>
      <c r="G84" s="49"/>
      <c r="H84" s="67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s="44" customFormat="1" ht="54">
      <c r="A85" s="43"/>
      <c r="B85" s="43">
        <v>1</v>
      </c>
      <c r="C85" s="42" t="s">
        <v>92</v>
      </c>
      <c r="D85" s="54" t="s">
        <v>97</v>
      </c>
      <c r="E85" s="61">
        <v>10</v>
      </c>
      <c r="F85" s="66"/>
      <c r="G85" s="49"/>
      <c r="H85" s="67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s="44" customFormat="1" ht="27">
      <c r="A86" s="43"/>
      <c r="B86" s="43">
        <v>1</v>
      </c>
      <c r="C86" s="42" t="s">
        <v>92</v>
      </c>
      <c r="D86" s="54" t="s">
        <v>98</v>
      </c>
      <c r="E86" s="61">
        <v>1</v>
      </c>
      <c r="F86" s="66"/>
      <c r="G86" s="49"/>
      <c r="H86" s="67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s="44" customFormat="1" ht="27.75" thickBot="1">
      <c r="A87" s="43"/>
      <c r="B87" s="43">
        <v>1</v>
      </c>
      <c r="C87" s="46" t="s">
        <v>92</v>
      </c>
      <c r="D87" s="55" t="s">
        <v>99</v>
      </c>
      <c r="E87" s="62">
        <v>1</v>
      </c>
      <c r="F87" s="68"/>
      <c r="G87" s="69"/>
      <c r="H87" s="70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5.75" customHeight="1">
      <c r="A88" s="1"/>
      <c r="B88" s="2"/>
      <c r="C88" s="3"/>
      <c r="D88" s="3"/>
      <c r="E88" s="2"/>
      <c r="F88" s="2"/>
      <c r="G88" s="47" t="s">
        <v>14</v>
      </c>
      <c r="H88" s="48">
        <f>SUM(H16:H87)</f>
        <v>0</v>
      </c>
      <c r="I88" s="1"/>
      <c r="J88" s="1"/>
      <c r="K88" s="1"/>
      <c r="L88" s="1"/>
      <c r="M88" s="1"/>
      <c r="N88" s="1"/>
      <c r="O88" s="1"/>
      <c r="P88" s="1"/>
      <c r="Q88" s="1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1"/>
      <c r="B89" s="2"/>
      <c r="C89" s="3"/>
      <c r="D89" s="3"/>
      <c r="E89" s="2"/>
      <c r="F89" s="2"/>
      <c r="G89" s="22" t="s">
        <v>15</v>
      </c>
      <c r="H89" s="21">
        <f>H88*19%</f>
        <v>0</v>
      </c>
      <c r="I89" s="1"/>
      <c r="J89" s="1"/>
      <c r="K89" s="1"/>
      <c r="L89" s="1"/>
      <c r="M89" s="1"/>
      <c r="N89" s="1"/>
      <c r="O89" s="1"/>
      <c r="P89" s="1"/>
      <c r="Q89" s="1"/>
      <c r="R89" s="6"/>
      <c r="S89" s="6"/>
      <c r="T89" s="6"/>
      <c r="U89" s="6"/>
      <c r="V89" s="6"/>
      <c r="W89" s="6"/>
      <c r="X89" s="6"/>
      <c r="Y89" s="6"/>
      <c r="Z89" s="6"/>
    </row>
    <row r="90" spans="1:26" ht="25.5">
      <c r="A90" s="1"/>
      <c r="B90" s="23"/>
      <c r="C90" s="6"/>
      <c r="D90" s="6"/>
      <c r="E90" s="2"/>
      <c r="F90" s="2"/>
      <c r="G90" s="22" t="s">
        <v>16</v>
      </c>
      <c r="H90" s="21">
        <f>H88+H89</f>
        <v>0</v>
      </c>
      <c r="I90" s="1"/>
      <c r="J90" s="1"/>
      <c r="K90" s="1"/>
      <c r="L90" s="1"/>
      <c r="M90" s="1"/>
      <c r="N90" s="1"/>
      <c r="O90" s="1"/>
      <c r="P90" s="1"/>
      <c r="Q90" s="1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1"/>
      <c r="B91" s="13"/>
      <c r="C91" s="3"/>
      <c r="D91" s="3"/>
      <c r="E91" s="2"/>
      <c r="F91" s="2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6"/>
      <c r="S91" s="6"/>
      <c r="T91" s="6"/>
      <c r="U91" s="6"/>
      <c r="V91" s="6"/>
      <c r="W91" s="6"/>
      <c r="X91" s="6"/>
      <c r="Y91" s="6"/>
      <c r="Z91" s="6"/>
    </row>
    <row r="92" spans="1:26" ht="33.75" customHeight="1">
      <c r="A92" s="1"/>
      <c r="B92" s="31" t="s">
        <v>17</v>
      </c>
      <c r="C92" s="32"/>
      <c r="D92" s="32"/>
      <c r="E92" s="32"/>
      <c r="F92" s="32"/>
      <c r="G92" s="32"/>
      <c r="H92" s="32"/>
      <c r="I92" s="1"/>
      <c r="J92" s="1"/>
      <c r="K92" s="1"/>
      <c r="L92" s="1"/>
      <c r="M92" s="1"/>
      <c r="N92" s="1"/>
      <c r="O92" s="1"/>
      <c r="P92" s="1"/>
      <c r="Q92" s="1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1"/>
      <c r="B93" s="24"/>
      <c r="C93" s="1"/>
      <c r="D93" s="1"/>
      <c r="E93" s="1"/>
      <c r="F93" s="25"/>
      <c r="G93" s="26"/>
      <c r="H93" s="26"/>
      <c r="I93" s="1"/>
      <c r="J93" s="1"/>
      <c r="K93" s="1"/>
      <c r="L93" s="1"/>
      <c r="M93" s="1"/>
      <c r="N93" s="1"/>
      <c r="O93" s="1"/>
      <c r="P93" s="1"/>
      <c r="Q93" s="1"/>
      <c r="R93" s="6"/>
      <c r="S93" s="6"/>
      <c r="T93" s="6"/>
      <c r="U93" s="6"/>
      <c r="V93" s="6"/>
      <c r="W93" s="6"/>
      <c r="X93" s="6"/>
      <c r="Y93" s="6"/>
      <c r="Z93" s="6"/>
    </row>
    <row r="94" spans="1:26" ht="13.5">
      <c r="A94" s="1"/>
      <c r="B94" s="35" t="s">
        <v>18</v>
      </c>
      <c r="C94" s="32"/>
      <c r="D94" s="32"/>
      <c r="E94" s="36"/>
      <c r="F94" s="37"/>
      <c r="G94" s="37"/>
      <c r="H94" s="38"/>
      <c r="I94" s="1"/>
      <c r="J94" s="1"/>
      <c r="K94" s="1"/>
      <c r="L94" s="1"/>
      <c r="M94" s="1"/>
      <c r="N94" s="1"/>
      <c r="O94" s="1"/>
      <c r="P94" s="1"/>
      <c r="Q94" s="1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1"/>
      <c r="B95" s="1"/>
      <c r="C95" s="1"/>
      <c r="D95" s="1"/>
      <c r="E95" s="1"/>
      <c r="F95" s="25"/>
      <c r="G95" s="26"/>
      <c r="H95" s="26"/>
      <c r="I95" s="1"/>
      <c r="J95" s="1"/>
      <c r="K95" s="1"/>
      <c r="L95" s="1"/>
      <c r="M95" s="1"/>
      <c r="N95" s="1"/>
      <c r="O95" s="1"/>
      <c r="P95" s="1"/>
      <c r="Q95" s="1"/>
      <c r="R95" s="6"/>
      <c r="S95" s="6"/>
      <c r="T95" s="6"/>
      <c r="U95" s="6"/>
      <c r="V95" s="6"/>
      <c r="W95" s="6"/>
      <c r="X95" s="6"/>
      <c r="Y95" s="6"/>
      <c r="Z95" s="6"/>
    </row>
    <row r="96" spans="1:26" ht="77.25" customHeight="1">
      <c r="A96" s="1"/>
      <c r="B96" s="1"/>
      <c r="C96" s="1"/>
      <c r="D96" s="1"/>
      <c r="E96" s="1"/>
      <c r="F96" s="25"/>
      <c r="G96" s="26"/>
      <c r="H96" s="26"/>
      <c r="I96" s="1"/>
      <c r="J96" s="1"/>
      <c r="K96" s="1"/>
      <c r="L96" s="1"/>
      <c r="M96" s="1"/>
      <c r="N96" s="1"/>
      <c r="O96" s="1"/>
      <c r="P96" s="1"/>
      <c r="Q96" s="1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1"/>
      <c r="B97" s="1"/>
      <c r="C97" s="1"/>
      <c r="D97" s="1"/>
      <c r="E97" s="1"/>
      <c r="F97" s="25"/>
      <c r="G97" s="26"/>
      <c r="H97" s="26"/>
      <c r="I97" s="1"/>
      <c r="J97" s="1"/>
      <c r="K97" s="1"/>
      <c r="L97" s="1"/>
      <c r="M97" s="1"/>
      <c r="N97" s="1"/>
      <c r="O97" s="1"/>
      <c r="P97" s="1"/>
      <c r="Q97" s="1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1"/>
      <c r="B98" s="1"/>
      <c r="C98" s="39" t="s">
        <v>19</v>
      </c>
      <c r="D98" s="34"/>
      <c r="E98" s="34"/>
      <c r="F98" s="34"/>
      <c r="G98" s="34"/>
      <c r="H98" s="26"/>
      <c r="I98" s="1"/>
      <c r="J98" s="1"/>
      <c r="K98" s="1"/>
      <c r="L98" s="1"/>
      <c r="M98" s="1"/>
      <c r="N98" s="1"/>
      <c r="O98" s="1"/>
      <c r="P98" s="1"/>
      <c r="Q98" s="1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1"/>
      <c r="B99" s="1"/>
      <c r="C99" s="27"/>
      <c r="D99" s="1"/>
      <c r="E99" s="1"/>
      <c r="F99" s="25"/>
      <c r="G99" s="26"/>
      <c r="H99" s="26"/>
      <c r="I99" s="1"/>
      <c r="J99" s="1"/>
      <c r="K99" s="1"/>
      <c r="L99" s="1"/>
      <c r="M99" s="1"/>
      <c r="N99" s="1"/>
      <c r="O99" s="1"/>
      <c r="P99" s="1"/>
      <c r="Q99" s="1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1"/>
      <c r="B100" s="1"/>
      <c r="D100" s="1"/>
      <c r="E100" s="1"/>
      <c r="F100" s="25"/>
      <c r="G100" s="26"/>
      <c r="H100" s="26"/>
      <c r="I100" s="1"/>
      <c r="J100" s="1"/>
      <c r="K100" s="1"/>
      <c r="L100" s="1"/>
      <c r="M100" s="1"/>
      <c r="N100" s="1"/>
      <c r="O100" s="1"/>
      <c r="P100" s="1"/>
      <c r="Q100" s="1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1"/>
      <c r="B101" s="1"/>
      <c r="C101" s="1"/>
      <c r="D101" s="1"/>
      <c r="E101" s="1"/>
      <c r="F101" s="25"/>
      <c r="G101" s="1"/>
      <c r="H101" s="28" t="s">
        <v>20</v>
      </c>
      <c r="I101" s="1"/>
      <c r="J101" s="1"/>
      <c r="K101" s="1"/>
      <c r="L101" s="1"/>
      <c r="M101" s="1"/>
      <c r="N101" s="1"/>
      <c r="O101" s="1"/>
      <c r="P101" s="1"/>
      <c r="Q101" s="1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1"/>
      <c r="B102" s="1"/>
      <c r="C102" s="1"/>
      <c r="D102" s="1"/>
      <c r="E102" s="1"/>
      <c r="F102" s="25"/>
      <c r="G102" s="26"/>
      <c r="H102" s="26"/>
      <c r="I102" s="1"/>
      <c r="J102" s="1"/>
      <c r="K102" s="1"/>
      <c r="L102" s="1"/>
      <c r="M102" s="1"/>
      <c r="N102" s="1"/>
      <c r="O102" s="1"/>
      <c r="P102" s="1"/>
      <c r="Q102" s="1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1"/>
      <c r="B103" s="1"/>
      <c r="C103" s="1"/>
      <c r="D103" s="1"/>
      <c r="E103" s="1"/>
      <c r="F103" s="25"/>
      <c r="G103" s="26"/>
      <c r="H103" s="26"/>
      <c r="I103" s="1"/>
      <c r="J103" s="1"/>
      <c r="K103" s="1"/>
      <c r="L103" s="1"/>
      <c r="M103" s="1"/>
      <c r="N103" s="1"/>
      <c r="O103" s="1"/>
      <c r="P103" s="1"/>
      <c r="Q103" s="1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1"/>
      <c r="B104" s="1"/>
      <c r="C104" s="1"/>
      <c r="D104" s="1"/>
      <c r="E104" s="1"/>
      <c r="F104" s="25"/>
      <c r="G104" s="26"/>
      <c r="H104" s="26"/>
      <c r="I104" s="1"/>
      <c r="J104" s="1"/>
      <c r="K104" s="1"/>
      <c r="L104" s="1"/>
      <c r="M104" s="1"/>
      <c r="N104" s="1"/>
      <c r="O104" s="1"/>
      <c r="P104" s="1"/>
      <c r="Q104" s="1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1"/>
      <c r="B105" s="1"/>
      <c r="C105" s="1"/>
      <c r="D105" s="1"/>
      <c r="E105" s="1"/>
      <c r="F105" s="25"/>
      <c r="G105" s="26"/>
      <c r="H105" s="26"/>
      <c r="I105" s="1"/>
      <c r="J105" s="1"/>
      <c r="K105" s="1"/>
      <c r="L105" s="1"/>
      <c r="M105" s="1"/>
      <c r="N105" s="1"/>
      <c r="O105" s="1"/>
      <c r="P105" s="1"/>
      <c r="Q105" s="1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1"/>
      <c r="B106" s="1"/>
      <c r="C106" s="1"/>
      <c r="D106" s="1"/>
      <c r="E106" s="1"/>
      <c r="F106" s="25"/>
      <c r="G106" s="26"/>
      <c r="H106" s="26"/>
      <c r="I106" s="1"/>
      <c r="J106" s="1"/>
      <c r="K106" s="1"/>
      <c r="L106" s="1"/>
      <c r="M106" s="1"/>
      <c r="N106" s="1"/>
      <c r="O106" s="1"/>
      <c r="P106" s="1"/>
      <c r="Q106" s="1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1"/>
      <c r="B107" s="1"/>
      <c r="C107" s="1"/>
      <c r="D107" s="1"/>
      <c r="E107" s="1"/>
      <c r="F107" s="25"/>
      <c r="G107" s="26"/>
      <c r="H107" s="26"/>
      <c r="I107" s="1"/>
      <c r="J107" s="1"/>
      <c r="K107" s="1"/>
      <c r="L107" s="1"/>
      <c r="M107" s="1"/>
      <c r="N107" s="1"/>
      <c r="O107" s="1"/>
      <c r="P107" s="1"/>
      <c r="Q107" s="1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1"/>
      <c r="B108" s="1"/>
      <c r="C108" s="1"/>
      <c r="D108" s="1"/>
      <c r="E108" s="1"/>
      <c r="F108" s="25"/>
      <c r="G108" s="26"/>
      <c r="H108" s="26"/>
      <c r="I108" s="1"/>
      <c r="J108" s="1"/>
      <c r="K108" s="1"/>
      <c r="L108" s="1"/>
      <c r="M108" s="1"/>
      <c r="N108" s="1"/>
      <c r="O108" s="1"/>
      <c r="P108" s="1"/>
      <c r="Q108" s="1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1"/>
      <c r="B109" s="1"/>
      <c r="C109" s="1"/>
      <c r="D109" s="1"/>
      <c r="E109" s="1"/>
      <c r="F109" s="25"/>
      <c r="G109" s="26"/>
      <c r="H109" s="26"/>
      <c r="I109" s="1"/>
      <c r="J109" s="1"/>
      <c r="K109" s="1"/>
      <c r="L109" s="1"/>
      <c r="M109" s="1"/>
      <c r="N109" s="1"/>
      <c r="O109" s="1"/>
      <c r="P109" s="1"/>
      <c r="Q109" s="1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1"/>
      <c r="B110" s="1"/>
      <c r="C110" s="1"/>
      <c r="D110" s="1"/>
      <c r="E110" s="1"/>
      <c r="F110" s="25"/>
      <c r="G110" s="26"/>
      <c r="H110" s="26"/>
      <c r="I110" s="1"/>
      <c r="J110" s="1"/>
      <c r="K110" s="1"/>
      <c r="L110" s="1"/>
      <c r="M110" s="1"/>
      <c r="N110" s="1"/>
      <c r="O110" s="1"/>
      <c r="P110" s="1"/>
      <c r="Q110" s="1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1"/>
      <c r="B111" s="1"/>
      <c r="C111" s="1"/>
      <c r="D111" s="1"/>
      <c r="E111" s="1"/>
      <c r="F111" s="25"/>
      <c r="G111" s="26"/>
      <c r="H111" s="26"/>
      <c r="I111" s="1"/>
      <c r="J111" s="1"/>
      <c r="K111" s="1"/>
      <c r="L111" s="1"/>
      <c r="M111" s="1"/>
      <c r="N111" s="1"/>
      <c r="O111" s="1"/>
      <c r="P111" s="1"/>
      <c r="Q111" s="1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1"/>
      <c r="B112" s="1"/>
      <c r="C112" s="1"/>
      <c r="D112" s="1"/>
      <c r="E112" s="1"/>
      <c r="F112" s="25"/>
      <c r="G112" s="26"/>
      <c r="H112" s="26"/>
      <c r="I112" s="1"/>
      <c r="J112" s="1"/>
      <c r="K112" s="1"/>
      <c r="L112" s="1"/>
      <c r="M112" s="1"/>
      <c r="N112" s="1"/>
      <c r="O112" s="1"/>
      <c r="P112" s="1"/>
      <c r="Q112" s="1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1"/>
      <c r="B113" s="1"/>
      <c r="C113" s="1"/>
      <c r="D113" s="1"/>
      <c r="E113" s="1"/>
      <c r="F113" s="25"/>
      <c r="G113" s="26"/>
      <c r="H113" s="26"/>
      <c r="I113" s="1"/>
      <c r="J113" s="1"/>
      <c r="K113" s="1"/>
      <c r="L113" s="1"/>
      <c r="M113" s="1"/>
      <c r="N113" s="1"/>
      <c r="O113" s="1"/>
      <c r="P113" s="1"/>
      <c r="Q113" s="1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1"/>
      <c r="B114" s="1"/>
      <c r="C114" s="1"/>
      <c r="D114" s="1"/>
      <c r="E114" s="1"/>
      <c r="F114" s="25"/>
      <c r="G114" s="26"/>
      <c r="H114" s="26"/>
      <c r="I114" s="1"/>
      <c r="J114" s="1"/>
      <c r="K114" s="1"/>
      <c r="L114" s="1"/>
      <c r="M114" s="1"/>
      <c r="N114" s="1"/>
      <c r="O114" s="1"/>
      <c r="P114" s="1"/>
      <c r="Q114" s="1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1"/>
      <c r="B115" s="1"/>
      <c r="C115" s="1"/>
      <c r="D115" s="1"/>
      <c r="E115" s="1"/>
      <c r="F115" s="25"/>
      <c r="G115" s="26"/>
      <c r="H115" s="26"/>
      <c r="I115" s="1"/>
      <c r="J115" s="1"/>
      <c r="K115" s="1"/>
      <c r="L115" s="1"/>
      <c r="M115" s="1"/>
      <c r="N115" s="1"/>
      <c r="O115" s="1"/>
      <c r="P115" s="1"/>
      <c r="Q115" s="1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1"/>
      <c r="B116" s="1"/>
      <c r="C116" s="1"/>
      <c r="D116" s="1"/>
      <c r="E116" s="1"/>
      <c r="F116" s="25"/>
      <c r="G116" s="26"/>
      <c r="H116" s="26"/>
      <c r="I116" s="1"/>
      <c r="J116" s="1"/>
      <c r="K116" s="1"/>
      <c r="L116" s="1"/>
      <c r="M116" s="1"/>
      <c r="N116" s="1"/>
      <c r="O116" s="1"/>
      <c r="P116" s="1"/>
      <c r="Q116" s="1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1"/>
      <c r="B117" s="1"/>
      <c r="C117" s="1"/>
      <c r="D117" s="1"/>
      <c r="E117" s="1"/>
      <c r="F117" s="25"/>
      <c r="G117" s="26"/>
      <c r="H117" s="26"/>
      <c r="I117" s="1"/>
      <c r="J117" s="1"/>
      <c r="K117" s="1"/>
      <c r="L117" s="1"/>
      <c r="M117" s="1"/>
      <c r="N117" s="1"/>
      <c r="O117" s="1"/>
      <c r="P117" s="1"/>
      <c r="Q117" s="1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1"/>
      <c r="B118" s="1"/>
      <c r="C118" s="1"/>
      <c r="D118" s="1"/>
      <c r="E118" s="1"/>
      <c r="F118" s="25"/>
      <c r="G118" s="26"/>
      <c r="H118" s="26"/>
      <c r="I118" s="1"/>
      <c r="J118" s="1"/>
      <c r="K118" s="1"/>
      <c r="L118" s="1"/>
      <c r="M118" s="1"/>
      <c r="N118" s="1"/>
      <c r="O118" s="1"/>
      <c r="P118" s="1"/>
      <c r="Q118" s="1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1"/>
      <c r="B119" s="1"/>
      <c r="C119" s="1"/>
      <c r="D119" s="1"/>
      <c r="E119" s="1"/>
      <c r="F119" s="25"/>
      <c r="G119" s="26"/>
      <c r="H119" s="26"/>
      <c r="I119" s="1"/>
      <c r="J119" s="1"/>
      <c r="K119" s="1"/>
      <c r="L119" s="1"/>
      <c r="M119" s="1"/>
      <c r="N119" s="1"/>
      <c r="O119" s="1"/>
      <c r="P119" s="1"/>
      <c r="Q119" s="1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1"/>
      <c r="B120" s="1"/>
      <c r="C120" s="1"/>
      <c r="D120" s="1"/>
      <c r="E120" s="1"/>
      <c r="F120" s="25"/>
      <c r="G120" s="26"/>
      <c r="H120" s="26"/>
      <c r="I120" s="1"/>
      <c r="J120" s="1"/>
      <c r="K120" s="1"/>
      <c r="L120" s="1"/>
      <c r="M120" s="1"/>
      <c r="N120" s="1"/>
      <c r="O120" s="1"/>
      <c r="P120" s="1"/>
      <c r="Q120" s="1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1"/>
      <c r="B121" s="1"/>
      <c r="C121" s="1"/>
      <c r="D121" s="1"/>
      <c r="E121" s="1"/>
      <c r="F121" s="25"/>
      <c r="G121" s="26"/>
      <c r="H121" s="26"/>
      <c r="I121" s="1"/>
      <c r="J121" s="1"/>
      <c r="K121" s="1"/>
      <c r="L121" s="1"/>
      <c r="M121" s="1"/>
      <c r="N121" s="1"/>
      <c r="O121" s="1"/>
      <c r="P121" s="1"/>
      <c r="Q121" s="1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1"/>
      <c r="B122" s="1"/>
      <c r="C122" s="1"/>
      <c r="D122" s="1"/>
      <c r="E122" s="1"/>
      <c r="F122" s="25"/>
      <c r="G122" s="26"/>
      <c r="H122" s="26"/>
      <c r="I122" s="1"/>
      <c r="J122" s="1"/>
      <c r="K122" s="1"/>
      <c r="L122" s="1"/>
      <c r="M122" s="1"/>
      <c r="N122" s="1"/>
      <c r="O122" s="1"/>
      <c r="P122" s="1"/>
      <c r="Q122" s="1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1"/>
      <c r="B123" s="1"/>
      <c r="C123" s="1"/>
      <c r="D123" s="1"/>
      <c r="E123" s="1"/>
      <c r="F123" s="25"/>
      <c r="G123" s="26"/>
      <c r="H123" s="26"/>
      <c r="I123" s="1"/>
      <c r="J123" s="1"/>
      <c r="K123" s="1"/>
      <c r="L123" s="1"/>
      <c r="M123" s="1"/>
      <c r="N123" s="1"/>
      <c r="O123" s="1"/>
      <c r="P123" s="1"/>
      <c r="Q123" s="1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1"/>
      <c r="B124" s="1"/>
      <c r="C124" s="1"/>
      <c r="D124" s="1"/>
      <c r="E124" s="1"/>
      <c r="F124" s="25"/>
      <c r="G124" s="26"/>
      <c r="H124" s="26"/>
      <c r="I124" s="1"/>
      <c r="J124" s="1"/>
      <c r="K124" s="1"/>
      <c r="L124" s="1"/>
      <c r="M124" s="1"/>
      <c r="N124" s="1"/>
      <c r="O124" s="1"/>
      <c r="P124" s="1"/>
      <c r="Q124" s="1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1"/>
      <c r="B125" s="1"/>
      <c r="C125" s="1"/>
      <c r="D125" s="1"/>
      <c r="E125" s="1"/>
      <c r="F125" s="25"/>
      <c r="G125" s="26"/>
      <c r="H125" s="26"/>
      <c r="I125" s="1"/>
      <c r="J125" s="1"/>
      <c r="K125" s="1"/>
      <c r="L125" s="1"/>
      <c r="M125" s="1"/>
      <c r="N125" s="1"/>
      <c r="O125" s="1"/>
      <c r="P125" s="1"/>
      <c r="Q125" s="1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1"/>
      <c r="B126" s="1"/>
      <c r="C126" s="1"/>
      <c r="D126" s="1"/>
      <c r="E126" s="1"/>
      <c r="F126" s="25"/>
      <c r="G126" s="26"/>
      <c r="H126" s="26"/>
      <c r="I126" s="1"/>
      <c r="J126" s="1"/>
      <c r="K126" s="1"/>
      <c r="L126" s="1"/>
      <c r="M126" s="1"/>
      <c r="N126" s="1"/>
      <c r="O126" s="1"/>
      <c r="P126" s="1"/>
      <c r="Q126" s="1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1"/>
      <c r="B127" s="1"/>
      <c r="C127" s="1"/>
      <c r="D127" s="1"/>
      <c r="E127" s="1"/>
      <c r="F127" s="25"/>
      <c r="G127" s="26"/>
      <c r="H127" s="26"/>
      <c r="I127" s="1"/>
      <c r="J127" s="1"/>
      <c r="K127" s="1"/>
      <c r="L127" s="1"/>
      <c r="M127" s="1"/>
      <c r="N127" s="1"/>
      <c r="O127" s="1"/>
      <c r="P127" s="1"/>
      <c r="Q127" s="1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1"/>
      <c r="B128" s="1"/>
      <c r="C128" s="1"/>
      <c r="D128" s="1"/>
      <c r="E128" s="1"/>
      <c r="F128" s="25"/>
      <c r="G128" s="26"/>
      <c r="H128" s="26"/>
      <c r="I128" s="1"/>
      <c r="J128" s="1"/>
      <c r="K128" s="1"/>
      <c r="L128" s="1"/>
      <c r="M128" s="1"/>
      <c r="N128" s="1"/>
      <c r="O128" s="1"/>
      <c r="P128" s="1"/>
      <c r="Q128" s="1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1"/>
      <c r="B129" s="1"/>
      <c r="C129" s="1"/>
      <c r="D129" s="1"/>
      <c r="E129" s="1"/>
      <c r="F129" s="25"/>
      <c r="G129" s="26"/>
      <c r="H129" s="26"/>
      <c r="I129" s="1"/>
      <c r="J129" s="1"/>
      <c r="K129" s="1"/>
      <c r="L129" s="1"/>
      <c r="M129" s="1"/>
      <c r="N129" s="1"/>
      <c r="O129" s="1"/>
      <c r="P129" s="1"/>
      <c r="Q129" s="1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1"/>
      <c r="B130" s="1"/>
      <c r="C130" s="1"/>
      <c r="D130" s="1"/>
      <c r="E130" s="1"/>
      <c r="F130" s="25"/>
      <c r="G130" s="26"/>
      <c r="H130" s="26"/>
      <c r="I130" s="1"/>
      <c r="J130" s="1"/>
      <c r="K130" s="1"/>
      <c r="L130" s="1"/>
      <c r="M130" s="1"/>
      <c r="N130" s="1"/>
      <c r="O130" s="1"/>
      <c r="P130" s="1"/>
      <c r="Q130" s="1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1"/>
      <c r="B131" s="1"/>
      <c r="C131" s="1"/>
      <c r="D131" s="1"/>
      <c r="E131" s="1"/>
      <c r="F131" s="25"/>
      <c r="G131" s="26"/>
      <c r="H131" s="26"/>
      <c r="I131" s="1"/>
      <c r="J131" s="1"/>
      <c r="K131" s="1"/>
      <c r="L131" s="1"/>
      <c r="M131" s="1"/>
      <c r="N131" s="1"/>
      <c r="O131" s="1"/>
      <c r="P131" s="1"/>
      <c r="Q131" s="1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1"/>
      <c r="B132" s="1"/>
      <c r="C132" s="1"/>
      <c r="D132" s="1"/>
      <c r="E132" s="1"/>
      <c r="F132" s="25"/>
      <c r="G132" s="26"/>
      <c r="H132" s="26"/>
      <c r="I132" s="1"/>
      <c r="J132" s="1"/>
      <c r="K132" s="1"/>
      <c r="L132" s="1"/>
      <c r="M132" s="1"/>
      <c r="N132" s="1"/>
      <c r="O132" s="1"/>
      <c r="P132" s="1"/>
      <c r="Q132" s="1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1"/>
      <c r="B133" s="1"/>
      <c r="C133" s="1"/>
      <c r="D133" s="1"/>
      <c r="E133" s="1"/>
      <c r="F133" s="25"/>
      <c r="G133" s="26"/>
      <c r="H133" s="26"/>
      <c r="I133" s="1"/>
      <c r="J133" s="1"/>
      <c r="K133" s="1"/>
      <c r="L133" s="1"/>
      <c r="M133" s="1"/>
      <c r="N133" s="1"/>
      <c r="O133" s="1"/>
      <c r="P133" s="1"/>
      <c r="Q133" s="1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1"/>
      <c r="B134" s="1"/>
      <c r="C134" s="1"/>
      <c r="D134" s="1"/>
      <c r="E134" s="1"/>
      <c r="F134" s="25"/>
      <c r="G134" s="26"/>
      <c r="H134" s="26"/>
      <c r="I134" s="1"/>
      <c r="J134" s="1"/>
      <c r="K134" s="1"/>
      <c r="L134" s="1"/>
      <c r="M134" s="1"/>
      <c r="N134" s="1"/>
      <c r="O134" s="1"/>
      <c r="P134" s="1"/>
      <c r="Q134" s="1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1"/>
      <c r="B135" s="1"/>
      <c r="C135" s="1"/>
      <c r="D135" s="1"/>
      <c r="E135" s="1"/>
      <c r="F135" s="25"/>
      <c r="G135" s="26"/>
      <c r="H135" s="26"/>
      <c r="I135" s="1"/>
      <c r="J135" s="1"/>
      <c r="K135" s="1"/>
      <c r="L135" s="1"/>
      <c r="M135" s="1"/>
      <c r="N135" s="1"/>
      <c r="O135" s="1"/>
      <c r="P135" s="1"/>
      <c r="Q135" s="1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1"/>
      <c r="B136" s="1"/>
      <c r="C136" s="1"/>
      <c r="D136" s="1"/>
      <c r="E136" s="1"/>
      <c r="F136" s="25"/>
      <c r="G136" s="26"/>
      <c r="H136" s="26"/>
      <c r="I136" s="1"/>
      <c r="J136" s="1"/>
      <c r="K136" s="1"/>
      <c r="L136" s="1"/>
      <c r="M136" s="1"/>
      <c r="N136" s="1"/>
      <c r="O136" s="1"/>
      <c r="P136" s="1"/>
      <c r="Q136" s="1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1"/>
      <c r="B137" s="1"/>
      <c r="C137" s="1"/>
      <c r="D137" s="1"/>
      <c r="E137" s="1"/>
      <c r="F137" s="25"/>
      <c r="G137" s="26"/>
      <c r="H137" s="26"/>
      <c r="I137" s="1"/>
      <c r="J137" s="1"/>
      <c r="K137" s="1"/>
      <c r="L137" s="1"/>
      <c r="M137" s="1"/>
      <c r="N137" s="1"/>
      <c r="O137" s="1"/>
      <c r="P137" s="1"/>
      <c r="Q137" s="1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1"/>
      <c r="B138" s="1"/>
      <c r="C138" s="1"/>
      <c r="D138" s="1"/>
      <c r="E138" s="1"/>
      <c r="F138" s="25"/>
      <c r="G138" s="26"/>
      <c r="H138" s="26"/>
      <c r="I138" s="1"/>
      <c r="J138" s="1"/>
      <c r="K138" s="1"/>
      <c r="L138" s="1"/>
      <c r="M138" s="1"/>
      <c r="N138" s="1"/>
      <c r="O138" s="1"/>
      <c r="P138" s="1"/>
      <c r="Q138" s="1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1"/>
      <c r="B139" s="1"/>
      <c r="C139" s="1"/>
      <c r="D139" s="1"/>
      <c r="E139" s="1"/>
      <c r="F139" s="25"/>
      <c r="G139" s="26"/>
      <c r="H139" s="26"/>
      <c r="I139" s="1"/>
      <c r="J139" s="1"/>
      <c r="K139" s="1"/>
      <c r="L139" s="1"/>
      <c r="M139" s="1"/>
      <c r="N139" s="1"/>
      <c r="O139" s="1"/>
      <c r="P139" s="1"/>
      <c r="Q139" s="1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1"/>
      <c r="B140" s="1"/>
      <c r="C140" s="1"/>
      <c r="D140" s="1"/>
      <c r="E140" s="1"/>
      <c r="F140" s="25"/>
      <c r="G140" s="26"/>
      <c r="H140" s="26"/>
      <c r="I140" s="1"/>
      <c r="J140" s="1"/>
      <c r="K140" s="1"/>
      <c r="L140" s="1"/>
      <c r="M140" s="1"/>
      <c r="N140" s="1"/>
      <c r="O140" s="1"/>
      <c r="P140" s="1"/>
      <c r="Q140" s="1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1"/>
      <c r="B141" s="1"/>
      <c r="C141" s="1"/>
      <c r="D141" s="1"/>
      <c r="E141" s="1"/>
      <c r="F141" s="25"/>
      <c r="G141" s="26"/>
      <c r="H141" s="26"/>
      <c r="I141" s="1"/>
      <c r="J141" s="1"/>
      <c r="K141" s="1"/>
      <c r="L141" s="1"/>
      <c r="M141" s="1"/>
      <c r="N141" s="1"/>
      <c r="O141" s="1"/>
      <c r="P141" s="1"/>
      <c r="Q141" s="1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1"/>
      <c r="B142" s="1"/>
      <c r="C142" s="1"/>
      <c r="D142" s="1"/>
      <c r="E142" s="1"/>
      <c r="F142" s="25"/>
      <c r="G142" s="26"/>
      <c r="H142" s="26"/>
      <c r="I142" s="1"/>
      <c r="J142" s="1"/>
      <c r="K142" s="1"/>
      <c r="L142" s="1"/>
      <c r="M142" s="1"/>
      <c r="N142" s="1"/>
      <c r="O142" s="1"/>
      <c r="P142" s="1"/>
      <c r="Q142" s="1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1"/>
      <c r="B143" s="1"/>
      <c r="C143" s="1"/>
      <c r="D143" s="1"/>
      <c r="E143" s="1"/>
      <c r="F143" s="25"/>
      <c r="G143" s="26"/>
      <c r="H143" s="26"/>
      <c r="I143" s="1"/>
      <c r="J143" s="1"/>
      <c r="K143" s="1"/>
      <c r="L143" s="1"/>
      <c r="M143" s="1"/>
      <c r="N143" s="1"/>
      <c r="O143" s="1"/>
      <c r="P143" s="1"/>
      <c r="Q143" s="1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1"/>
      <c r="B144" s="1"/>
      <c r="C144" s="1"/>
      <c r="D144" s="1"/>
      <c r="E144" s="1"/>
      <c r="F144" s="25"/>
      <c r="G144" s="26"/>
      <c r="H144" s="26"/>
      <c r="I144" s="1"/>
      <c r="J144" s="1"/>
      <c r="K144" s="1"/>
      <c r="L144" s="1"/>
      <c r="M144" s="1"/>
      <c r="N144" s="1"/>
      <c r="O144" s="1"/>
      <c r="P144" s="1"/>
      <c r="Q144" s="1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1"/>
      <c r="B145" s="1"/>
      <c r="C145" s="1"/>
      <c r="D145" s="1"/>
      <c r="E145" s="1"/>
      <c r="F145" s="25"/>
      <c r="G145" s="26"/>
      <c r="H145" s="26"/>
      <c r="I145" s="1"/>
      <c r="J145" s="1"/>
      <c r="K145" s="1"/>
      <c r="L145" s="1"/>
      <c r="M145" s="1"/>
      <c r="N145" s="1"/>
      <c r="O145" s="1"/>
      <c r="P145" s="1"/>
      <c r="Q145" s="1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1"/>
      <c r="B146" s="1"/>
      <c r="C146" s="1"/>
      <c r="D146" s="1"/>
      <c r="E146" s="1"/>
      <c r="F146" s="25"/>
      <c r="G146" s="26"/>
      <c r="H146" s="26"/>
      <c r="I146" s="1"/>
      <c r="J146" s="1"/>
      <c r="K146" s="1"/>
      <c r="L146" s="1"/>
      <c r="M146" s="1"/>
      <c r="N146" s="1"/>
      <c r="O146" s="1"/>
      <c r="P146" s="1"/>
      <c r="Q146" s="1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1"/>
      <c r="B147" s="1"/>
      <c r="C147" s="1"/>
      <c r="D147" s="1"/>
      <c r="E147" s="1"/>
      <c r="F147" s="25"/>
      <c r="G147" s="26"/>
      <c r="H147" s="26"/>
      <c r="I147" s="1"/>
      <c r="J147" s="1"/>
      <c r="K147" s="1"/>
      <c r="L147" s="1"/>
      <c r="M147" s="1"/>
      <c r="N147" s="1"/>
      <c r="O147" s="1"/>
      <c r="P147" s="1"/>
      <c r="Q147" s="1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1"/>
      <c r="B148" s="1"/>
      <c r="C148" s="1"/>
      <c r="D148" s="1"/>
      <c r="E148" s="1"/>
      <c r="F148" s="25"/>
      <c r="G148" s="26"/>
      <c r="H148" s="26"/>
      <c r="I148" s="1"/>
      <c r="J148" s="1"/>
      <c r="K148" s="1"/>
      <c r="L148" s="1"/>
      <c r="M148" s="1"/>
      <c r="N148" s="1"/>
      <c r="O148" s="1"/>
      <c r="P148" s="1"/>
      <c r="Q148" s="1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1"/>
      <c r="B149" s="1"/>
      <c r="C149" s="1"/>
      <c r="D149" s="1"/>
      <c r="E149" s="1"/>
      <c r="F149" s="25"/>
      <c r="G149" s="26"/>
      <c r="H149" s="26"/>
      <c r="I149" s="1"/>
      <c r="J149" s="1"/>
      <c r="K149" s="1"/>
      <c r="L149" s="1"/>
      <c r="M149" s="1"/>
      <c r="N149" s="1"/>
      <c r="O149" s="1"/>
      <c r="P149" s="1"/>
      <c r="Q149" s="1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1"/>
      <c r="B150" s="1"/>
      <c r="C150" s="1"/>
      <c r="D150" s="1"/>
      <c r="E150" s="1"/>
      <c r="F150" s="25"/>
      <c r="G150" s="26"/>
      <c r="H150" s="26"/>
      <c r="I150" s="1"/>
      <c r="J150" s="1"/>
      <c r="K150" s="1"/>
      <c r="L150" s="1"/>
      <c r="M150" s="1"/>
      <c r="N150" s="1"/>
      <c r="O150" s="1"/>
      <c r="P150" s="1"/>
      <c r="Q150" s="1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1"/>
      <c r="B151" s="1"/>
      <c r="C151" s="1"/>
      <c r="D151" s="1"/>
      <c r="E151" s="1"/>
      <c r="F151" s="25"/>
      <c r="G151" s="26"/>
      <c r="H151" s="26"/>
      <c r="I151" s="1"/>
      <c r="J151" s="1"/>
      <c r="K151" s="1"/>
      <c r="L151" s="1"/>
      <c r="M151" s="1"/>
      <c r="N151" s="1"/>
      <c r="O151" s="1"/>
      <c r="P151" s="1"/>
      <c r="Q151" s="1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1"/>
      <c r="B152" s="1"/>
      <c r="C152" s="1"/>
      <c r="D152" s="1"/>
      <c r="E152" s="1"/>
      <c r="F152" s="25"/>
      <c r="G152" s="26"/>
      <c r="H152" s="26"/>
      <c r="I152" s="1"/>
      <c r="J152" s="1"/>
      <c r="K152" s="1"/>
      <c r="L152" s="1"/>
      <c r="M152" s="1"/>
      <c r="N152" s="1"/>
      <c r="O152" s="1"/>
      <c r="P152" s="1"/>
      <c r="Q152" s="1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1"/>
      <c r="B153" s="1"/>
      <c r="C153" s="1"/>
      <c r="D153" s="1"/>
      <c r="E153" s="1"/>
      <c r="F153" s="25"/>
      <c r="G153" s="26"/>
      <c r="H153" s="26"/>
      <c r="I153" s="1"/>
      <c r="J153" s="1"/>
      <c r="K153" s="1"/>
      <c r="L153" s="1"/>
      <c r="M153" s="1"/>
      <c r="N153" s="1"/>
      <c r="O153" s="1"/>
      <c r="P153" s="1"/>
      <c r="Q153" s="1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1"/>
      <c r="B154" s="1"/>
      <c r="C154" s="1"/>
      <c r="D154" s="1"/>
      <c r="E154" s="1"/>
      <c r="F154" s="25"/>
      <c r="G154" s="26"/>
      <c r="H154" s="26"/>
      <c r="I154" s="1"/>
      <c r="J154" s="1"/>
      <c r="K154" s="1"/>
      <c r="L154" s="1"/>
      <c r="M154" s="1"/>
      <c r="N154" s="1"/>
      <c r="O154" s="1"/>
      <c r="P154" s="1"/>
      <c r="Q154" s="1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1"/>
      <c r="B155" s="1"/>
      <c r="C155" s="1"/>
      <c r="D155" s="1"/>
      <c r="E155" s="1"/>
      <c r="F155" s="25"/>
      <c r="G155" s="26"/>
      <c r="H155" s="26"/>
      <c r="I155" s="1"/>
      <c r="J155" s="1"/>
      <c r="K155" s="1"/>
      <c r="L155" s="1"/>
      <c r="M155" s="1"/>
      <c r="N155" s="1"/>
      <c r="O155" s="1"/>
      <c r="P155" s="1"/>
      <c r="Q155" s="1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1"/>
      <c r="B156" s="1"/>
      <c r="C156" s="1"/>
      <c r="D156" s="1"/>
      <c r="E156" s="1"/>
      <c r="F156" s="25"/>
      <c r="G156" s="26"/>
      <c r="H156" s="26"/>
      <c r="I156" s="1"/>
      <c r="J156" s="1"/>
      <c r="K156" s="1"/>
      <c r="L156" s="1"/>
      <c r="M156" s="1"/>
      <c r="N156" s="1"/>
      <c r="O156" s="1"/>
      <c r="P156" s="1"/>
      <c r="Q156" s="1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1"/>
      <c r="B157" s="1"/>
      <c r="C157" s="1"/>
      <c r="D157" s="1"/>
      <c r="E157" s="1"/>
      <c r="F157" s="25"/>
      <c r="G157" s="26"/>
      <c r="H157" s="26"/>
      <c r="I157" s="1"/>
      <c r="J157" s="1"/>
      <c r="K157" s="1"/>
      <c r="L157" s="1"/>
      <c r="M157" s="1"/>
      <c r="N157" s="1"/>
      <c r="O157" s="1"/>
      <c r="P157" s="1"/>
      <c r="Q157" s="1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1"/>
      <c r="B158" s="1"/>
      <c r="C158" s="1"/>
      <c r="D158" s="1"/>
      <c r="E158" s="1"/>
      <c r="F158" s="25"/>
      <c r="G158" s="26"/>
      <c r="H158" s="26"/>
      <c r="I158" s="1"/>
      <c r="J158" s="1"/>
      <c r="K158" s="1"/>
      <c r="L158" s="1"/>
      <c r="M158" s="1"/>
      <c r="N158" s="1"/>
      <c r="O158" s="1"/>
      <c r="P158" s="1"/>
      <c r="Q158" s="1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1"/>
      <c r="B159" s="1"/>
      <c r="C159" s="1"/>
      <c r="D159" s="1"/>
      <c r="E159" s="1"/>
      <c r="F159" s="25"/>
      <c r="G159" s="26"/>
      <c r="H159" s="26"/>
      <c r="I159" s="1"/>
      <c r="J159" s="1"/>
      <c r="K159" s="1"/>
      <c r="L159" s="1"/>
      <c r="M159" s="1"/>
      <c r="N159" s="1"/>
      <c r="O159" s="1"/>
      <c r="P159" s="1"/>
      <c r="Q159" s="1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1"/>
      <c r="B160" s="1"/>
      <c r="C160" s="1"/>
      <c r="D160" s="1"/>
      <c r="E160" s="1"/>
      <c r="F160" s="25"/>
      <c r="G160" s="26"/>
      <c r="H160" s="26"/>
      <c r="I160" s="1"/>
      <c r="J160" s="1"/>
      <c r="K160" s="1"/>
      <c r="L160" s="1"/>
      <c r="M160" s="1"/>
      <c r="N160" s="1"/>
      <c r="O160" s="1"/>
      <c r="P160" s="1"/>
      <c r="Q160" s="1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1"/>
      <c r="B161" s="1"/>
      <c r="C161" s="1"/>
      <c r="D161" s="1"/>
      <c r="E161" s="1"/>
      <c r="F161" s="25"/>
      <c r="G161" s="26"/>
      <c r="H161" s="26"/>
      <c r="I161" s="1"/>
      <c r="J161" s="1"/>
      <c r="K161" s="1"/>
      <c r="L161" s="1"/>
      <c r="M161" s="1"/>
      <c r="N161" s="1"/>
      <c r="O161" s="1"/>
      <c r="P161" s="1"/>
      <c r="Q161" s="1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1"/>
      <c r="B162" s="1"/>
      <c r="C162" s="1"/>
      <c r="D162" s="1"/>
      <c r="E162" s="1"/>
      <c r="F162" s="25"/>
      <c r="G162" s="26"/>
      <c r="H162" s="26"/>
      <c r="I162" s="1"/>
      <c r="J162" s="1"/>
      <c r="K162" s="1"/>
      <c r="L162" s="1"/>
      <c r="M162" s="1"/>
      <c r="N162" s="1"/>
      <c r="O162" s="1"/>
      <c r="P162" s="1"/>
      <c r="Q162" s="1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1"/>
      <c r="B163" s="1"/>
      <c r="C163" s="1"/>
      <c r="D163" s="1"/>
      <c r="E163" s="1"/>
      <c r="F163" s="25"/>
      <c r="G163" s="26"/>
      <c r="H163" s="26"/>
      <c r="I163" s="1"/>
      <c r="J163" s="1"/>
      <c r="K163" s="1"/>
      <c r="L163" s="1"/>
      <c r="M163" s="1"/>
      <c r="N163" s="1"/>
      <c r="O163" s="1"/>
      <c r="P163" s="1"/>
      <c r="Q163" s="1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1"/>
      <c r="B164" s="1"/>
      <c r="C164" s="1"/>
      <c r="D164" s="1"/>
      <c r="E164" s="1"/>
      <c r="F164" s="25"/>
      <c r="G164" s="26"/>
      <c r="H164" s="26"/>
      <c r="I164" s="1"/>
      <c r="J164" s="1"/>
      <c r="K164" s="1"/>
      <c r="L164" s="1"/>
      <c r="M164" s="1"/>
      <c r="N164" s="1"/>
      <c r="O164" s="1"/>
      <c r="P164" s="1"/>
      <c r="Q164" s="1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1"/>
      <c r="B165" s="1"/>
      <c r="C165" s="1"/>
      <c r="D165" s="1"/>
      <c r="E165" s="1"/>
      <c r="F165" s="25"/>
      <c r="G165" s="26"/>
      <c r="H165" s="26"/>
      <c r="I165" s="1"/>
      <c r="J165" s="1"/>
      <c r="K165" s="1"/>
      <c r="L165" s="1"/>
      <c r="M165" s="1"/>
      <c r="N165" s="1"/>
      <c r="O165" s="1"/>
      <c r="P165" s="1"/>
      <c r="Q165" s="1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1"/>
      <c r="B166" s="1"/>
      <c r="C166" s="1"/>
      <c r="D166" s="1"/>
      <c r="E166" s="1"/>
      <c r="F166" s="25"/>
      <c r="G166" s="26"/>
      <c r="H166" s="26"/>
      <c r="I166" s="1"/>
      <c r="J166" s="1"/>
      <c r="K166" s="1"/>
      <c r="L166" s="1"/>
      <c r="M166" s="1"/>
      <c r="N166" s="1"/>
      <c r="O166" s="1"/>
      <c r="P166" s="1"/>
      <c r="Q166" s="1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1"/>
      <c r="B167" s="1"/>
      <c r="C167" s="1"/>
      <c r="D167" s="1"/>
      <c r="E167" s="1"/>
      <c r="F167" s="25"/>
      <c r="G167" s="26"/>
      <c r="H167" s="26"/>
      <c r="I167" s="1"/>
      <c r="J167" s="1"/>
      <c r="K167" s="1"/>
      <c r="L167" s="1"/>
      <c r="M167" s="1"/>
      <c r="N167" s="1"/>
      <c r="O167" s="1"/>
      <c r="P167" s="1"/>
      <c r="Q167" s="1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1"/>
      <c r="B168" s="1"/>
      <c r="C168" s="1"/>
      <c r="D168" s="1"/>
      <c r="E168" s="1"/>
      <c r="F168" s="25"/>
      <c r="G168" s="26"/>
      <c r="H168" s="26"/>
      <c r="I168" s="1"/>
      <c r="J168" s="1"/>
      <c r="K168" s="1"/>
      <c r="L168" s="1"/>
      <c r="M168" s="1"/>
      <c r="N168" s="1"/>
      <c r="O168" s="1"/>
      <c r="P168" s="1"/>
      <c r="Q168" s="1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1"/>
      <c r="B169" s="1"/>
      <c r="C169" s="1"/>
      <c r="D169" s="1"/>
      <c r="E169" s="1"/>
      <c r="F169" s="25"/>
      <c r="G169" s="26"/>
      <c r="H169" s="26"/>
      <c r="I169" s="1"/>
      <c r="J169" s="1"/>
      <c r="K169" s="1"/>
      <c r="L169" s="1"/>
      <c r="M169" s="1"/>
      <c r="N169" s="1"/>
      <c r="O169" s="1"/>
      <c r="P169" s="1"/>
      <c r="Q169" s="1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1"/>
      <c r="B170" s="1"/>
      <c r="C170" s="1"/>
      <c r="D170" s="1"/>
      <c r="E170" s="1"/>
      <c r="F170" s="25"/>
      <c r="G170" s="26"/>
      <c r="H170" s="26"/>
      <c r="I170" s="1"/>
      <c r="J170" s="1"/>
      <c r="K170" s="1"/>
      <c r="L170" s="1"/>
      <c r="M170" s="1"/>
      <c r="N170" s="1"/>
      <c r="O170" s="1"/>
      <c r="P170" s="1"/>
      <c r="Q170" s="1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1"/>
      <c r="B171" s="1"/>
      <c r="C171" s="1"/>
      <c r="D171" s="1"/>
      <c r="E171" s="1"/>
      <c r="F171" s="25"/>
      <c r="G171" s="26"/>
      <c r="H171" s="26"/>
      <c r="I171" s="1"/>
      <c r="J171" s="1"/>
      <c r="K171" s="1"/>
      <c r="L171" s="1"/>
      <c r="M171" s="1"/>
      <c r="N171" s="1"/>
      <c r="O171" s="1"/>
      <c r="P171" s="1"/>
      <c r="Q171" s="1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1"/>
      <c r="B172" s="1"/>
      <c r="C172" s="1"/>
      <c r="D172" s="1"/>
      <c r="E172" s="1"/>
      <c r="F172" s="25"/>
      <c r="G172" s="26"/>
      <c r="H172" s="26"/>
      <c r="I172" s="1"/>
      <c r="J172" s="1"/>
      <c r="K172" s="1"/>
      <c r="L172" s="1"/>
      <c r="M172" s="1"/>
      <c r="N172" s="1"/>
      <c r="O172" s="1"/>
      <c r="P172" s="1"/>
      <c r="Q172" s="1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1"/>
      <c r="B173" s="1"/>
      <c r="C173" s="1"/>
      <c r="D173" s="1"/>
      <c r="E173" s="1"/>
      <c r="F173" s="25"/>
      <c r="G173" s="26"/>
      <c r="H173" s="26"/>
      <c r="I173" s="1"/>
      <c r="J173" s="1"/>
      <c r="K173" s="1"/>
      <c r="L173" s="1"/>
      <c r="M173" s="1"/>
      <c r="N173" s="1"/>
      <c r="O173" s="1"/>
      <c r="P173" s="1"/>
      <c r="Q173" s="1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1"/>
      <c r="B174" s="1"/>
      <c r="C174" s="1"/>
      <c r="D174" s="1"/>
      <c r="E174" s="1"/>
      <c r="F174" s="25"/>
      <c r="G174" s="26"/>
      <c r="H174" s="26"/>
      <c r="I174" s="1"/>
      <c r="J174" s="1"/>
      <c r="K174" s="1"/>
      <c r="L174" s="1"/>
      <c r="M174" s="1"/>
      <c r="N174" s="1"/>
      <c r="O174" s="1"/>
      <c r="P174" s="1"/>
      <c r="Q174" s="1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1"/>
      <c r="B175" s="1"/>
      <c r="C175" s="1"/>
      <c r="D175" s="1"/>
      <c r="E175" s="1"/>
      <c r="F175" s="25"/>
      <c r="G175" s="26"/>
      <c r="H175" s="26"/>
      <c r="I175" s="1"/>
      <c r="J175" s="1"/>
      <c r="K175" s="1"/>
      <c r="L175" s="1"/>
      <c r="M175" s="1"/>
      <c r="N175" s="1"/>
      <c r="O175" s="1"/>
      <c r="P175" s="1"/>
      <c r="Q175" s="1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1"/>
      <c r="B176" s="1"/>
      <c r="C176" s="1"/>
      <c r="D176" s="1"/>
      <c r="E176" s="1"/>
      <c r="F176" s="25"/>
      <c r="G176" s="26"/>
      <c r="H176" s="26"/>
      <c r="I176" s="1"/>
      <c r="J176" s="1"/>
      <c r="K176" s="1"/>
      <c r="L176" s="1"/>
      <c r="M176" s="1"/>
      <c r="N176" s="1"/>
      <c r="O176" s="1"/>
      <c r="P176" s="1"/>
      <c r="Q176" s="1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1"/>
      <c r="B177" s="1"/>
      <c r="C177" s="1"/>
      <c r="D177" s="1"/>
      <c r="E177" s="1"/>
      <c r="F177" s="25"/>
      <c r="G177" s="26"/>
      <c r="H177" s="26"/>
      <c r="I177" s="1"/>
      <c r="J177" s="1"/>
      <c r="K177" s="1"/>
      <c r="L177" s="1"/>
      <c r="M177" s="1"/>
      <c r="N177" s="1"/>
      <c r="O177" s="1"/>
      <c r="P177" s="1"/>
      <c r="Q177" s="1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1"/>
      <c r="B178" s="1"/>
      <c r="C178" s="1"/>
      <c r="D178" s="1"/>
      <c r="E178" s="1"/>
      <c r="F178" s="25"/>
      <c r="G178" s="26"/>
      <c r="H178" s="26"/>
      <c r="I178" s="1"/>
      <c r="J178" s="1"/>
      <c r="K178" s="1"/>
      <c r="L178" s="1"/>
      <c r="M178" s="1"/>
      <c r="N178" s="1"/>
      <c r="O178" s="1"/>
      <c r="P178" s="1"/>
      <c r="Q178" s="1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1"/>
      <c r="B179" s="1"/>
      <c r="C179" s="1"/>
      <c r="D179" s="1"/>
      <c r="E179" s="1"/>
      <c r="F179" s="25"/>
      <c r="G179" s="26"/>
      <c r="H179" s="26"/>
      <c r="I179" s="1"/>
      <c r="J179" s="1"/>
      <c r="K179" s="1"/>
      <c r="L179" s="1"/>
      <c r="M179" s="1"/>
      <c r="N179" s="1"/>
      <c r="O179" s="1"/>
      <c r="P179" s="1"/>
      <c r="Q179" s="1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1"/>
      <c r="B180" s="1"/>
      <c r="C180" s="1"/>
      <c r="D180" s="1"/>
      <c r="E180" s="1"/>
      <c r="F180" s="25"/>
      <c r="G180" s="26"/>
      <c r="H180" s="26"/>
      <c r="I180" s="1"/>
      <c r="J180" s="1"/>
      <c r="K180" s="1"/>
      <c r="L180" s="1"/>
      <c r="M180" s="1"/>
      <c r="N180" s="1"/>
      <c r="O180" s="1"/>
      <c r="P180" s="1"/>
      <c r="Q180" s="1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1"/>
      <c r="B181" s="1"/>
      <c r="C181" s="1"/>
      <c r="D181" s="1"/>
      <c r="E181" s="1"/>
      <c r="F181" s="25"/>
      <c r="G181" s="26"/>
      <c r="H181" s="26"/>
      <c r="I181" s="1"/>
      <c r="J181" s="1"/>
      <c r="K181" s="1"/>
      <c r="L181" s="1"/>
      <c r="M181" s="1"/>
      <c r="N181" s="1"/>
      <c r="O181" s="1"/>
      <c r="P181" s="1"/>
      <c r="Q181" s="1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1"/>
      <c r="B182" s="1"/>
      <c r="C182" s="1"/>
      <c r="D182" s="1"/>
      <c r="E182" s="1"/>
      <c r="F182" s="25"/>
      <c r="G182" s="26"/>
      <c r="H182" s="26"/>
      <c r="I182" s="1"/>
      <c r="J182" s="1"/>
      <c r="K182" s="1"/>
      <c r="L182" s="1"/>
      <c r="M182" s="1"/>
      <c r="N182" s="1"/>
      <c r="O182" s="1"/>
      <c r="P182" s="1"/>
      <c r="Q182" s="1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1"/>
      <c r="B183" s="1"/>
      <c r="C183" s="1"/>
      <c r="D183" s="1"/>
      <c r="E183" s="1"/>
      <c r="F183" s="25"/>
      <c r="G183" s="26"/>
      <c r="H183" s="26"/>
      <c r="I183" s="1"/>
      <c r="J183" s="1"/>
      <c r="K183" s="1"/>
      <c r="L183" s="1"/>
      <c r="M183" s="1"/>
      <c r="N183" s="1"/>
      <c r="O183" s="1"/>
      <c r="P183" s="1"/>
      <c r="Q183" s="1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1"/>
      <c r="B184" s="1"/>
      <c r="C184" s="1"/>
      <c r="D184" s="1"/>
      <c r="E184" s="1"/>
      <c r="F184" s="25"/>
      <c r="G184" s="26"/>
      <c r="H184" s="26"/>
      <c r="I184" s="1"/>
      <c r="J184" s="1"/>
      <c r="K184" s="1"/>
      <c r="L184" s="1"/>
      <c r="M184" s="1"/>
      <c r="N184" s="1"/>
      <c r="O184" s="1"/>
      <c r="P184" s="1"/>
      <c r="Q184" s="1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1"/>
      <c r="B185" s="1"/>
      <c r="C185" s="1"/>
      <c r="D185" s="1"/>
      <c r="E185" s="1"/>
      <c r="F185" s="25"/>
      <c r="G185" s="26"/>
      <c r="H185" s="26"/>
      <c r="I185" s="1"/>
      <c r="J185" s="1"/>
      <c r="K185" s="1"/>
      <c r="L185" s="1"/>
      <c r="M185" s="1"/>
      <c r="N185" s="1"/>
      <c r="O185" s="1"/>
      <c r="P185" s="1"/>
      <c r="Q185" s="1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1"/>
      <c r="B186" s="1"/>
      <c r="C186" s="1"/>
      <c r="D186" s="1"/>
      <c r="E186" s="1"/>
      <c r="F186" s="25"/>
      <c r="G186" s="26"/>
      <c r="H186" s="26"/>
      <c r="I186" s="1"/>
      <c r="J186" s="1"/>
      <c r="K186" s="1"/>
      <c r="L186" s="1"/>
      <c r="M186" s="1"/>
      <c r="N186" s="1"/>
      <c r="O186" s="1"/>
      <c r="P186" s="1"/>
      <c r="Q186" s="1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1"/>
      <c r="B187" s="1"/>
      <c r="C187" s="1"/>
      <c r="D187" s="1"/>
      <c r="E187" s="1"/>
      <c r="F187" s="25"/>
      <c r="G187" s="26"/>
      <c r="H187" s="26"/>
      <c r="I187" s="1"/>
      <c r="J187" s="1"/>
      <c r="K187" s="1"/>
      <c r="L187" s="1"/>
      <c r="M187" s="1"/>
      <c r="N187" s="1"/>
      <c r="O187" s="1"/>
      <c r="P187" s="1"/>
      <c r="Q187" s="1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1"/>
      <c r="B188" s="1"/>
      <c r="C188" s="1"/>
      <c r="D188" s="1"/>
      <c r="E188" s="1"/>
      <c r="F188" s="25"/>
      <c r="G188" s="26"/>
      <c r="H188" s="26"/>
      <c r="I188" s="1"/>
      <c r="J188" s="1"/>
      <c r="K188" s="1"/>
      <c r="L188" s="1"/>
      <c r="M188" s="1"/>
      <c r="N188" s="1"/>
      <c r="O188" s="1"/>
      <c r="P188" s="1"/>
      <c r="Q188" s="1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1"/>
      <c r="B189" s="1"/>
      <c r="C189" s="1"/>
      <c r="D189" s="1"/>
      <c r="E189" s="1"/>
      <c r="F189" s="25"/>
      <c r="G189" s="26"/>
      <c r="H189" s="26"/>
      <c r="I189" s="1"/>
      <c r="J189" s="1"/>
      <c r="K189" s="1"/>
      <c r="L189" s="1"/>
      <c r="M189" s="1"/>
      <c r="N189" s="1"/>
      <c r="O189" s="1"/>
      <c r="P189" s="1"/>
      <c r="Q189" s="1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1"/>
      <c r="B190" s="1"/>
      <c r="C190" s="1"/>
      <c r="D190" s="1"/>
      <c r="E190" s="1"/>
      <c r="F190" s="25"/>
      <c r="G190" s="26"/>
      <c r="H190" s="26"/>
      <c r="I190" s="1"/>
      <c r="J190" s="1"/>
      <c r="K190" s="1"/>
      <c r="L190" s="1"/>
      <c r="M190" s="1"/>
      <c r="N190" s="1"/>
      <c r="O190" s="1"/>
      <c r="P190" s="1"/>
      <c r="Q190" s="1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1"/>
      <c r="B191" s="1"/>
      <c r="C191" s="1"/>
      <c r="D191" s="1"/>
      <c r="E191" s="1"/>
      <c r="F191" s="25"/>
      <c r="G191" s="26"/>
      <c r="H191" s="26"/>
      <c r="I191" s="1"/>
      <c r="J191" s="1"/>
      <c r="K191" s="1"/>
      <c r="L191" s="1"/>
      <c r="M191" s="1"/>
      <c r="N191" s="1"/>
      <c r="O191" s="1"/>
      <c r="P191" s="1"/>
      <c r="Q191" s="1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1"/>
      <c r="B192" s="1"/>
      <c r="C192" s="1"/>
      <c r="D192" s="1"/>
      <c r="E192" s="1"/>
      <c r="F192" s="25"/>
      <c r="G192" s="26"/>
      <c r="H192" s="26"/>
      <c r="I192" s="1"/>
      <c r="J192" s="1"/>
      <c r="K192" s="1"/>
      <c r="L192" s="1"/>
      <c r="M192" s="1"/>
      <c r="N192" s="1"/>
      <c r="O192" s="1"/>
      <c r="P192" s="1"/>
      <c r="Q192" s="1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1"/>
      <c r="B193" s="1"/>
      <c r="C193" s="1"/>
      <c r="D193" s="1"/>
      <c r="E193" s="1"/>
      <c r="F193" s="25"/>
      <c r="G193" s="26"/>
      <c r="H193" s="26"/>
      <c r="I193" s="1"/>
      <c r="J193" s="1"/>
      <c r="K193" s="1"/>
      <c r="L193" s="1"/>
      <c r="M193" s="1"/>
      <c r="N193" s="1"/>
      <c r="O193" s="1"/>
      <c r="P193" s="1"/>
      <c r="Q193" s="1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1"/>
      <c r="B194" s="1"/>
      <c r="C194" s="1"/>
      <c r="D194" s="1"/>
      <c r="E194" s="1"/>
      <c r="F194" s="25"/>
      <c r="G194" s="26"/>
      <c r="H194" s="26"/>
      <c r="I194" s="1"/>
      <c r="J194" s="1"/>
      <c r="K194" s="1"/>
      <c r="L194" s="1"/>
      <c r="M194" s="1"/>
      <c r="N194" s="1"/>
      <c r="O194" s="1"/>
      <c r="P194" s="1"/>
      <c r="Q194" s="1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1"/>
      <c r="B195" s="1"/>
      <c r="C195" s="1"/>
      <c r="D195" s="1"/>
      <c r="E195" s="1"/>
      <c r="F195" s="25"/>
      <c r="G195" s="26"/>
      <c r="H195" s="26"/>
      <c r="I195" s="1"/>
      <c r="J195" s="1"/>
      <c r="K195" s="1"/>
      <c r="L195" s="1"/>
      <c r="M195" s="1"/>
      <c r="N195" s="1"/>
      <c r="O195" s="1"/>
      <c r="P195" s="1"/>
      <c r="Q195" s="1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1"/>
      <c r="B196" s="1"/>
      <c r="C196" s="1"/>
      <c r="D196" s="1"/>
      <c r="E196" s="1"/>
      <c r="F196" s="25"/>
      <c r="G196" s="26"/>
      <c r="H196" s="26"/>
      <c r="I196" s="1"/>
      <c r="J196" s="1"/>
      <c r="K196" s="1"/>
      <c r="L196" s="1"/>
      <c r="M196" s="1"/>
      <c r="N196" s="1"/>
      <c r="O196" s="1"/>
      <c r="P196" s="1"/>
      <c r="Q196" s="1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1"/>
      <c r="B197" s="1"/>
      <c r="C197" s="1"/>
      <c r="D197" s="1"/>
      <c r="E197" s="1"/>
      <c r="F197" s="25"/>
      <c r="G197" s="26"/>
      <c r="H197" s="26"/>
      <c r="I197" s="1"/>
      <c r="J197" s="1"/>
      <c r="K197" s="1"/>
      <c r="L197" s="1"/>
      <c r="M197" s="1"/>
      <c r="N197" s="1"/>
      <c r="O197" s="1"/>
      <c r="P197" s="1"/>
      <c r="Q197" s="1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1"/>
      <c r="B198" s="1"/>
      <c r="C198" s="1"/>
      <c r="D198" s="1"/>
      <c r="E198" s="1"/>
      <c r="F198" s="25"/>
      <c r="G198" s="26"/>
      <c r="H198" s="26"/>
      <c r="I198" s="1"/>
      <c r="J198" s="1"/>
      <c r="K198" s="1"/>
      <c r="L198" s="1"/>
      <c r="M198" s="1"/>
      <c r="N198" s="1"/>
      <c r="O198" s="1"/>
      <c r="P198" s="1"/>
      <c r="Q198" s="1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1"/>
      <c r="B199" s="1"/>
      <c r="C199" s="1"/>
      <c r="D199" s="1"/>
      <c r="E199" s="1"/>
      <c r="F199" s="25"/>
      <c r="G199" s="26"/>
      <c r="H199" s="26"/>
      <c r="I199" s="1"/>
      <c r="J199" s="1"/>
      <c r="K199" s="1"/>
      <c r="L199" s="1"/>
      <c r="M199" s="1"/>
      <c r="N199" s="1"/>
      <c r="O199" s="1"/>
      <c r="P199" s="1"/>
      <c r="Q199" s="1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1"/>
      <c r="B200" s="1"/>
      <c r="C200" s="1"/>
      <c r="D200" s="1"/>
      <c r="E200" s="1"/>
      <c r="F200" s="25"/>
      <c r="G200" s="26"/>
      <c r="H200" s="26"/>
      <c r="I200" s="1"/>
      <c r="J200" s="1"/>
      <c r="K200" s="1"/>
      <c r="L200" s="1"/>
      <c r="M200" s="1"/>
      <c r="N200" s="1"/>
      <c r="O200" s="1"/>
      <c r="P200" s="1"/>
      <c r="Q200" s="1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1"/>
      <c r="B201" s="1"/>
      <c r="C201" s="1"/>
      <c r="D201" s="1"/>
      <c r="E201" s="1"/>
      <c r="F201" s="25"/>
      <c r="G201" s="26"/>
      <c r="H201" s="26"/>
      <c r="I201" s="1"/>
      <c r="J201" s="1"/>
      <c r="K201" s="1"/>
      <c r="L201" s="1"/>
      <c r="M201" s="1"/>
      <c r="N201" s="1"/>
      <c r="O201" s="1"/>
      <c r="P201" s="1"/>
      <c r="Q201" s="1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1"/>
      <c r="B202" s="1"/>
      <c r="C202" s="1"/>
      <c r="D202" s="1"/>
      <c r="E202" s="1"/>
      <c r="F202" s="25"/>
      <c r="G202" s="26"/>
      <c r="H202" s="26"/>
      <c r="I202" s="1"/>
      <c r="J202" s="1"/>
      <c r="K202" s="1"/>
      <c r="L202" s="1"/>
      <c r="M202" s="1"/>
      <c r="N202" s="1"/>
      <c r="O202" s="1"/>
      <c r="P202" s="1"/>
      <c r="Q202" s="1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1"/>
      <c r="B203" s="1"/>
      <c r="C203" s="1"/>
      <c r="D203" s="1"/>
      <c r="E203" s="1"/>
      <c r="F203" s="25"/>
      <c r="G203" s="26"/>
      <c r="H203" s="26"/>
      <c r="I203" s="1"/>
      <c r="J203" s="1"/>
      <c r="K203" s="1"/>
      <c r="L203" s="1"/>
      <c r="M203" s="1"/>
      <c r="N203" s="1"/>
      <c r="O203" s="1"/>
      <c r="P203" s="1"/>
      <c r="Q203" s="1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1"/>
      <c r="B204" s="1"/>
      <c r="C204" s="1"/>
      <c r="D204" s="1"/>
      <c r="E204" s="1"/>
      <c r="F204" s="25"/>
      <c r="G204" s="26"/>
      <c r="H204" s="26"/>
      <c r="I204" s="1"/>
      <c r="J204" s="1"/>
      <c r="K204" s="1"/>
      <c r="L204" s="1"/>
      <c r="M204" s="1"/>
      <c r="N204" s="1"/>
      <c r="O204" s="1"/>
      <c r="P204" s="1"/>
      <c r="Q204" s="1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1"/>
      <c r="B205" s="1"/>
      <c r="C205" s="1"/>
      <c r="D205" s="1"/>
      <c r="E205" s="1"/>
      <c r="F205" s="25"/>
      <c r="G205" s="26"/>
      <c r="H205" s="26"/>
      <c r="I205" s="1"/>
      <c r="J205" s="1"/>
      <c r="K205" s="1"/>
      <c r="L205" s="1"/>
      <c r="M205" s="1"/>
      <c r="N205" s="1"/>
      <c r="O205" s="1"/>
      <c r="P205" s="1"/>
      <c r="Q205" s="1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1"/>
      <c r="B206" s="1"/>
      <c r="C206" s="1"/>
      <c r="D206" s="1"/>
      <c r="E206" s="1"/>
      <c r="F206" s="25"/>
      <c r="G206" s="26"/>
      <c r="H206" s="26"/>
      <c r="I206" s="1"/>
      <c r="J206" s="1"/>
      <c r="K206" s="1"/>
      <c r="L206" s="1"/>
      <c r="M206" s="1"/>
      <c r="N206" s="1"/>
      <c r="O206" s="1"/>
      <c r="P206" s="1"/>
      <c r="Q206" s="1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1"/>
      <c r="B207" s="1"/>
      <c r="C207" s="1"/>
      <c r="D207" s="1"/>
      <c r="E207" s="1"/>
      <c r="F207" s="25"/>
      <c r="G207" s="26"/>
      <c r="H207" s="26"/>
      <c r="I207" s="1"/>
      <c r="J207" s="1"/>
      <c r="K207" s="1"/>
      <c r="L207" s="1"/>
      <c r="M207" s="1"/>
      <c r="N207" s="1"/>
      <c r="O207" s="1"/>
      <c r="P207" s="1"/>
      <c r="Q207" s="1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1"/>
      <c r="B208" s="1"/>
      <c r="C208" s="1"/>
      <c r="D208" s="1"/>
      <c r="E208" s="1"/>
      <c r="F208" s="25"/>
      <c r="G208" s="26"/>
      <c r="H208" s="26"/>
      <c r="I208" s="1"/>
      <c r="J208" s="1"/>
      <c r="K208" s="1"/>
      <c r="L208" s="1"/>
      <c r="M208" s="1"/>
      <c r="N208" s="1"/>
      <c r="O208" s="1"/>
      <c r="P208" s="1"/>
      <c r="Q208" s="1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1"/>
      <c r="B209" s="1"/>
      <c r="C209" s="1"/>
      <c r="D209" s="1"/>
      <c r="E209" s="1"/>
      <c r="F209" s="25"/>
      <c r="G209" s="26"/>
      <c r="H209" s="26"/>
      <c r="I209" s="1"/>
      <c r="J209" s="1"/>
      <c r="K209" s="1"/>
      <c r="L209" s="1"/>
      <c r="M209" s="1"/>
      <c r="N209" s="1"/>
      <c r="O209" s="1"/>
      <c r="P209" s="1"/>
      <c r="Q209" s="1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1"/>
      <c r="B210" s="1"/>
      <c r="C210" s="1"/>
      <c r="D210" s="1"/>
      <c r="E210" s="1"/>
      <c r="F210" s="25"/>
      <c r="G210" s="26"/>
      <c r="H210" s="26"/>
      <c r="I210" s="1"/>
      <c r="J210" s="1"/>
      <c r="K210" s="1"/>
      <c r="L210" s="1"/>
      <c r="M210" s="1"/>
      <c r="N210" s="1"/>
      <c r="O210" s="1"/>
      <c r="P210" s="1"/>
      <c r="Q210" s="1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1"/>
      <c r="B211" s="1"/>
      <c r="C211" s="1"/>
      <c r="D211" s="1"/>
      <c r="E211" s="1"/>
      <c r="F211" s="25"/>
      <c r="G211" s="26"/>
      <c r="H211" s="26"/>
      <c r="I211" s="1"/>
      <c r="J211" s="1"/>
      <c r="K211" s="1"/>
      <c r="L211" s="1"/>
      <c r="M211" s="1"/>
      <c r="N211" s="1"/>
      <c r="O211" s="1"/>
      <c r="P211" s="1"/>
      <c r="Q211" s="1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1"/>
      <c r="B212" s="1"/>
      <c r="C212" s="1"/>
      <c r="D212" s="1"/>
      <c r="E212" s="1"/>
      <c r="F212" s="25"/>
      <c r="G212" s="26"/>
      <c r="H212" s="26"/>
      <c r="I212" s="1"/>
      <c r="J212" s="1"/>
      <c r="K212" s="1"/>
      <c r="L212" s="1"/>
      <c r="M212" s="1"/>
      <c r="N212" s="1"/>
      <c r="O212" s="1"/>
      <c r="P212" s="1"/>
      <c r="Q212" s="1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1"/>
      <c r="B213" s="1"/>
      <c r="C213" s="1"/>
      <c r="D213" s="1"/>
      <c r="E213" s="1"/>
      <c r="F213" s="25"/>
      <c r="G213" s="26"/>
      <c r="H213" s="26"/>
      <c r="I213" s="1"/>
      <c r="J213" s="1"/>
      <c r="K213" s="1"/>
      <c r="L213" s="1"/>
      <c r="M213" s="1"/>
      <c r="N213" s="1"/>
      <c r="O213" s="1"/>
      <c r="P213" s="1"/>
      <c r="Q213" s="1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1"/>
      <c r="B214" s="1"/>
      <c r="C214" s="1"/>
      <c r="D214" s="1"/>
      <c r="E214" s="1"/>
      <c r="F214" s="25"/>
      <c r="G214" s="26"/>
      <c r="H214" s="26"/>
      <c r="I214" s="1"/>
      <c r="J214" s="1"/>
      <c r="K214" s="1"/>
      <c r="L214" s="1"/>
      <c r="M214" s="1"/>
      <c r="N214" s="1"/>
      <c r="O214" s="1"/>
      <c r="P214" s="1"/>
      <c r="Q214" s="1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1"/>
      <c r="B215" s="1"/>
      <c r="C215" s="1"/>
      <c r="D215" s="1"/>
      <c r="E215" s="1"/>
      <c r="F215" s="25"/>
      <c r="G215" s="26"/>
      <c r="H215" s="26"/>
      <c r="I215" s="1"/>
      <c r="J215" s="1"/>
      <c r="K215" s="1"/>
      <c r="L215" s="1"/>
      <c r="M215" s="1"/>
      <c r="N215" s="1"/>
      <c r="O215" s="1"/>
      <c r="P215" s="1"/>
      <c r="Q215" s="1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1"/>
      <c r="B216" s="1"/>
      <c r="C216" s="1"/>
      <c r="D216" s="1"/>
      <c r="E216" s="1"/>
      <c r="F216" s="25"/>
      <c r="G216" s="26"/>
      <c r="H216" s="26"/>
      <c r="I216" s="1"/>
      <c r="J216" s="1"/>
      <c r="K216" s="1"/>
      <c r="L216" s="1"/>
      <c r="M216" s="1"/>
      <c r="N216" s="1"/>
      <c r="O216" s="1"/>
      <c r="P216" s="1"/>
      <c r="Q216" s="1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1"/>
      <c r="B217" s="1"/>
      <c r="C217" s="1"/>
      <c r="D217" s="1"/>
      <c r="E217" s="1"/>
      <c r="F217" s="25"/>
      <c r="G217" s="26"/>
      <c r="H217" s="26"/>
      <c r="I217" s="1"/>
      <c r="J217" s="1"/>
      <c r="K217" s="1"/>
      <c r="L217" s="1"/>
      <c r="M217" s="1"/>
      <c r="N217" s="1"/>
      <c r="O217" s="1"/>
      <c r="P217" s="1"/>
      <c r="Q217" s="1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1"/>
      <c r="B218" s="1"/>
      <c r="C218" s="1"/>
      <c r="D218" s="1"/>
      <c r="E218" s="1"/>
      <c r="F218" s="25"/>
      <c r="G218" s="26"/>
      <c r="H218" s="26"/>
      <c r="I218" s="1"/>
      <c r="J218" s="1"/>
      <c r="K218" s="1"/>
      <c r="L218" s="1"/>
      <c r="M218" s="1"/>
      <c r="N218" s="1"/>
      <c r="O218" s="1"/>
      <c r="P218" s="1"/>
      <c r="Q218" s="1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1"/>
      <c r="B219" s="1"/>
      <c r="C219" s="1"/>
      <c r="D219" s="1"/>
      <c r="E219" s="1"/>
      <c r="F219" s="25"/>
      <c r="G219" s="26"/>
      <c r="H219" s="26"/>
      <c r="I219" s="1"/>
      <c r="J219" s="1"/>
      <c r="K219" s="1"/>
      <c r="L219" s="1"/>
      <c r="M219" s="1"/>
      <c r="N219" s="1"/>
      <c r="O219" s="1"/>
      <c r="P219" s="1"/>
      <c r="Q219" s="1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1"/>
      <c r="B220" s="1"/>
      <c r="C220" s="1"/>
      <c r="D220" s="1"/>
      <c r="E220" s="1"/>
      <c r="F220" s="25"/>
      <c r="G220" s="26"/>
      <c r="H220" s="26"/>
      <c r="I220" s="1"/>
      <c r="J220" s="1"/>
      <c r="K220" s="1"/>
      <c r="L220" s="1"/>
      <c r="M220" s="1"/>
      <c r="N220" s="1"/>
      <c r="O220" s="1"/>
      <c r="P220" s="1"/>
      <c r="Q220" s="1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1"/>
      <c r="B221" s="1"/>
      <c r="C221" s="1"/>
      <c r="D221" s="1"/>
      <c r="E221" s="1"/>
      <c r="F221" s="25"/>
      <c r="G221" s="26"/>
      <c r="H221" s="26"/>
      <c r="I221" s="1"/>
      <c r="J221" s="1"/>
      <c r="K221" s="1"/>
      <c r="L221" s="1"/>
      <c r="M221" s="1"/>
      <c r="N221" s="1"/>
      <c r="O221" s="1"/>
      <c r="P221" s="1"/>
      <c r="Q221" s="1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1"/>
      <c r="B222" s="1"/>
      <c r="C222" s="1"/>
      <c r="D222" s="1"/>
      <c r="E222" s="1"/>
      <c r="F222" s="25"/>
      <c r="G222" s="26"/>
      <c r="H222" s="26"/>
      <c r="I222" s="1"/>
      <c r="J222" s="1"/>
      <c r="K222" s="1"/>
      <c r="L222" s="1"/>
      <c r="M222" s="1"/>
      <c r="N222" s="1"/>
      <c r="O222" s="1"/>
      <c r="P222" s="1"/>
      <c r="Q222" s="1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1"/>
      <c r="B223" s="1"/>
      <c r="C223" s="1"/>
      <c r="D223" s="1"/>
      <c r="E223" s="1"/>
      <c r="F223" s="25"/>
      <c r="G223" s="26"/>
      <c r="H223" s="26"/>
      <c r="I223" s="1"/>
      <c r="J223" s="1"/>
      <c r="K223" s="1"/>
      <c r="L223" s="1"/>
      <c r="M223" s="1"/>
      <c r="N223" s="1"/>
      <c r="O223" s="1"/>
      <c r="P223" s="1"/>
      <c r="Q223" s="1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1"/>
      <c r="B224" s="1"/>
      <c r="C224" s="1"/>
      <c r="D224" s="1"/>
      <c r="E224" s="1"/>
      <c r="F224" s="25"/>
      <c r="G224" s="26"/>
      <c r="H224" s="26"/>
      <c r="I224" s="1"/>
      <c r="J224" s="1"/>
      <c r="K224" s="1"/>
      <c r="L224" s="1"/>
      <c r="M224" s="1"/>
      <c r="N224" s="1"/>
      <c r="O224" s="1"/>
      <c r="P224" s="1"/>
      <c r="Q224" s="1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1"/>
      <c r="B225" s="1"/>
      <c r="C225" s="1"/>
      <c r="D225" s="1"/>
      <c r="E225" s="1"/>
      <c r="F225" s="25"/>
      <c r="G225" s="26"/>
      <c r="H225" s="26"/>
      <c r="I225" s="1"/>
      <c r="J225" s="1"/>
      <c r="K225" s="1"/>
      <c r="L225" s="1"/>
      <c r="M225" s="1"/>
      <c r="N225" s="1"/>
      <c r="O225" s="1"/>
      <c r="P225" s="1"/>
      <c r="Q225" s="1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1"/>
      <c r="B226" s="1"/>
      <c r="C226" s="1"/>
      <c r="D226" s="1"/>
      <c r="E226" s="1"/>
      <c r="F226" s="25"/>
      <c r="G226" s="26"/>
      <c r="H226" s="26"/>
      <c r="I226" s="1"/>
      <c r="J226" s="1"/>
      <c r="K226" s="1"/>
      <c r="L226" s="1"/>
      <c r="M226" s="1"/>
      <c r="N226" s="1"/>
      <c r="O226" s="1"/>
      <c r="P226" s="1"/>
      <c r="Q226" s="1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1"/>
      <c r="B227" s="1"/>
      <c r="C227" s="1"/>
      <c r="D227" s="1"/>
      <c r="E227" s="1"/>
      <c r="F227" s="25"/>
      <c r="G227" s="26"/>
      <c r="H227" s="26"/>
      <c r="I227" s="1"/>
      <c r="J227" s="1"/>
      <c r="K227" s="1"/>
      <c r="L227" s="1"/>
      <c r="M227" s="1"/>
      <c r="N227" s="1"/>
      <c r="O227" s="1"/>
      <c r="P227" s="1"/>
      <c r="Q227" s="1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1"/>
      <c r="B228" s="1"/>
      <c r="C228" s="1"/>
      <c r="D228" s="1"/>
      <c r="E228" s="1"/>
      <c r="F228" s="25"/>
      <c r="G228" s="26"/>
      <c r="H228" s="26"/>
      <c r="I228" s="1"/>
      <c r="J228" s="1"/>
      <c r="K228" s="1"/>
      <c r="L228" s="1"/>
      <c r="M228" s="1"/>
      <c r="N228" s="1"/>
      <c r="O228" s="1"/>
      <c r="P228" s="1"/>
      <c r="Q228" s="1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1"/>
      <c r="B229" s="1"/>
      <c r="C229" s="1"/>
      <c r="D229" s="1"/>
      <c r="E229" s="1"/>
      <c r="F229" s="25"/>
      <c r="G229" s="26"/>
      <c r="H229" s="26"/>
      <c r="I229" s="1"/>
      <c r="J229" s="1"/>
      <c r="K229" s="1"/>
      <c r="L229" s="1"/>
      <c r="M229" s="1"/>
      <c r="N229" s="1"/>
      <c r="O229" s="1"/>
      <c r="P229" s="1"/>
      <c r="Q229" s="1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1"/>
      <c r="B230" s="1"/>
      <c r="C230" s="1"/>
      <c r="D230" s="1"/>
      <c r="E230" s="1"/>
      <c r="F230" s="25"/>
      <c r="G230" s="26"/>
      <c r="H230" s="26"/>
      <c r="I230" s="1"/>
      <c r="J230" s="1"/>
      <c r="K230" s="1"/>
      <c r="L230" s="1"/>
      <c r="M230" s="1"/>
      <c r="N230" s="1"/>
      <c r="O230" s="1"/>
      <c r="P230" s="1"/>
      <c r="Q230" s="1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1"/>
      <c r="B231" s="1"/>
      <c r="C231" s="1"/>
      <c r="D231" s="1"/>
      <c r="E231" s="1"/>
      <c r="F231" s="25"/>
      <c r="G231" s="26"/>
      <c r="H231" s="26"/>
      <c r="I231" s="1"/>
      <c r="J231" s="1"/>
      <c r="K231" s="1"/>
      <c r="L231" s="1"/>
      <c r="M231" s="1"/>
      <c r="N231" s="1"/>
      <c r="O231" s="1"/>
      <c r="P231" s="1"/>
      <c r="Q231" s="1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1"/>
      <c r="B232" s="1"/>
      <c r="C232" s="1"/>
      <c r="D232" s="1"/>
      <c r="E232" s="1"/>
      <c r="F232" s="25"/>
      <c r="G232" s="26"/>
      <c r="H232" s="26"/>
      <c r="I232" s="1"/>
      <c r="J232" s="1"/>
      <c r="K232" s="1"/>
      <c r="L232" s="1"/>
      <c r="M232" s="1"/>
      <c r="N232" s="1"/>
      <c r="O232" s="1"/>
      <c r="P232" s="1"/>
      <c r="Q232" s="1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1"/>
      <c r="B233" s="1"/>
      <c r="C233" s="1"/>
      <c r="D233" s="1"/>
      <c r="E233" s="1"/>
      <c r="F233" s="25"/>
      <c r="G233" s="26"/>
      <c r="H233" s="26"/>
      <c r="I233" s="1"/>
      <c r="J233" s="1"/>
      <c r="K233" s="1"/>
      <c r="L233" s="1"/>
      <c r="M233" s="1"/>
      <c r="N233" s="1"/>
      <c r="O233" s="1"/>
      <c r="P233" s="1"/>
      <c r="Q233" s="1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1"/>
      <c r="B234" s="1"/>
      <c r="C234" s="1"/>
      <c r="D234" s="1"/>
      <c r="E234" s="1"/>
      <c r="F234" s="25"/>
      <c r="G234" s="26"/>
      <c r="H234" s="26"/>
      <c r="I234" s="1"/>
      <c r="J234" s="1"/>
      <c r="K234" s="1"/>
      <c r="L234" s="1"/>
      <c r="M234" s="1"/>
      <c r="N234" s="1"/>
      <c r="O234" s="1"/>
      <c r="P234" s="1"/>
      <c r="Q234" s="1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1"/>
      <c r="B235" s="1"/>
      <c r="C235" s="1"/>
      <c r="D235" s="1"/>
      <c r="E235" s="1"/>
      <c r="F235" s="25"/>
      <c r="G235" s="26"/>
      <c r="H235" s="26"/>
      <c r="I235" s="1"/>
      <c r="J235" s="1"/>
      <c r="K235" s="1"/>
      <c r="L235" s="1"/>
      <c r="M235" s="1"/>
      <c r="N235" s="1"/>
      <c r="O235" s="1"/>
      <c r="P235" s="1"/>
      <c r="Q235" s="1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1"/>
      <c r="B236" s="1"/>
      <c r="C236" s="1"/>
      <c r="D236" s="1"/>
      <c r="E236" s="1"/>
      <c r="F236" s="25"/>
      <c r="G236" s="26"/>
      <c r="H236" s="26"/>
      <c r="I236" s="1"/>
      <c r="J236" s="1"/>
      <c r="K236" s="1"/>
      <c r="L236" s="1"/>
      <c r="M236" s="1"/>
      <c r="N236" s="1"/>
      <c r="O236" s="1"/>
      <c r="P236" s="1"/>
      <c r="Q236" s="1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1"/>
      <c r="B237" s="1"/>
      <c r="C237" s="1"/>
      <c r="D237" s="1"/>
      <c r="E237" s="1"/>
      <c r="F237" s="25"/>
      <c r="G237" s="26"/>
      <c r="H237" s="26"/>
      <c r="I237" s="1"/>
      <c r="J237" s="1"/>
      <c r="K237" s="1"/>
      <c r="L237" s="1"/>
      <c r="M237" s="1"/>
      <c r="N237" s="1"/>
      <c r="O237" s="1"/>
      <c r="P237" s="1"/>
      <c r="Q237" s="1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1"/>
      <c r="B238" s="1"/>
      <c r="C238" s="1"/>
      <c r="D238" s="1"/>
      <c r="E238" s="1"/>
      <c r="F238" s="25"/>
      <c r="G238" s="26"/>
      <c r="H238" s="26"/>
      <c r="I238" s="1"/>
      <c r="J238" s="1"/>
      <c r="K238" s="1"/>
      <c r="L238" s="1"/>
      <c r="M238" s="1"/>
      <c r="N238" s="1"/>
      <c r="O238" s="1"/>
      <c r="P238" s="1"/>
      <c r="Q238" s="1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1"/>
      <c r="B239" s="1"/>
      <c r="C239" s="1"/>
      <c r="D239" s="1"/>
      <c r="E239" s="1"/>
      <c r="F239" s="25"/>
      <c r="G239" s="26"/>
      <c r="H239" s="26"/>
      <c r="I239" s="1"/>
      <c r="J239" s="1"/>
      <c r="K239" s="1"/>
      <c r="L239" s="1"/>
      <c r="M239" s="1"/>
      <c r="N239" s="1"/>
      <c r="O239" s="1"/>
      <c r="P239" s="1"/>
      <c r="Q239" s="1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1"/>
      <c r="B240" s="1"/>
      <c r="C240" s="1"/>
      <c r="D240" s="1"/>
      <c r="E240" s="1"/>
      <c r="F240" s="25"/>
      <c r="G240" s="26"/>
      <c r="H240" s="26"/>
      <c r="I240" s="1"/>
      <c r="J240" s="1"/>
      <c r="K240" s="1"/>
      <c r="L240" s="1"/>
      <c r="M240" s="1"/>
      <c r="N240" s="1"/>
      <c r="O240" s="1"/>
      <c r="P240" s="1"/>
      <c r="Q240" s="1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1"/>
      <c r="B241" s="1"/>
      <c r="C241" s="1"/>
      <c r="D241" s="1"/>
      <c r="E241" s="1"/>
      <c r="F241" s="25"/>
      <c r="G241" s="26"/>
      <c r="H241" s="26"/>
      <c r="I241" s="1"/>
      <c r="J241" s="1"/>
      <c r="K241" s="1"/>
      <c r="L241" s="1"/>
      <c r="M241" s="1"/>
      <c r="N241" s="1"/>
      <c r="O241" s="1"/>
      <c r="P241" s="1"/>
      <c r="Q241" s="1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1"/>
      <c r="B242" s="1"/>
      <c r="C242" s="1"/>
      <c r="D242" s="1"/>
      <c r="E242" s="1"/>
      <c r="F242" s="25"/>
      <c r="G242" s="26"/>
      <c r="H242" s="26"/>
      <c r="I242" s="1"/>
      <c r="J242" s="1"/>
      <c r="K242" s="1"/>
      <c r="L242" s="1"/>
      <c r="M242" s="1"/>
      <c r="N242" s="1"/>
      <c r="O242" s="1"/>
      <c r="P242" s="1"/>
      <c r="Q242" s="1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1"/>
      <c r="B243" s="1"/>
      <c r="C243" s="1"/>
      <c r="D243" s="1"/>
      <c r="E243" s="1"/>
      <c r="F243" s="25"/>
      <c r="G243" s="26"/>
      <c r="H243" s="26"/>
      <c r="I243" s="1"/>
      <c r="J243" s="1"/>
      <c r="K243" s="1"/>
      <c r="L243" s="1"/>
      <c r="M243" s="1"/>
      <c r="N243" s="1"/>
      <c r="O243" s="1"/>
      <c r="P243" s="1"/>
      <c r="Q243" s="1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1"/>
      <c r="B244" s="1"/>
      <c r="C244" s="1"/>
      <c r="D244" s="1"/>
      <c r="E244" s="1"/>
      <c r="F244" s="25"/>
      <c r="G244" s="26"/>
      <c r="H244" s="26"/>
      <c r="I244" s="1"/>
      <c r="J244" s="1"/>
      <c r="K244" s="1"/>
      <c r="L244" s="1"/>
      <c r="M244" s="1"/>
      <c r="N244" s="1"/>
      <c r="O244" s="1"/>
      <c r="P244" s="1"/>
      <c r="Q244" s="1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1"/>
      <c r="B245" s="1"/>
      <c r="C245" s="1"/>
      <c r="D245" s="1"/>
      <c r="E245" s="1"/>
      <c r="F245" s="25"/>
      <c r="G245" s="26"/>
      <c r="H245" s="26"/>
      <c r="I245" s="1"/>
      <c r="J245" s="1"/>
      <c r="K245" s="1"/>
      <c r="L245" s="1"/>
      <c r="M245" s="1"/>
      <c r="N245" s="1"/>
      <c r="O245" s="1"/>
      <c r="P245" s="1"/>
      <c r="Q245" s="1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1"/>
      <c r="B246" s="1"/>
      <c r="C246" s="1"/>
      <c r="D246" s="1"/>
      <c r="E246" s="1"/>
      <c r="F246" s="25"/>
      <c r="G246" s="26"/>
      <c r="H246" s="26"/>
      <c r="I246" s="1"/>
      <c r="J246" s="1"/>
      <c r="K246" s="1"/>
      <c r="L246" s="1"/>
      <c r="M246" s="1"/>
      <c r="N246" s="1"/>
      <c r="O246" s="1"/>
      <c r="P246" s="1"/>
      <c r="Q246" s="1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1"/>
      <c r="B247" s="1"/>
      <c r="C247" s="1"/>
      <c r="D247" s="1"/>
      <c r="E247" s="1"/>
      <c r="F247" s="25"/>
      <c r="G247" s="26"/>
      <c r="H247" s="26"/>
      <c r="I247" s="1"/>
      <c r="J247" s="1"/>
      <c r="K247" s="1"/>
      <c r="L247" s="1"/>
      <c r="M247" s="1"/>
      <c r="N247" s="1"/>
      <c r="O247" s="1"/>
      <c r="P247" s="1"/>
      <c r="Q247" s="1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1"/>
      <c r="B248" s="1"/>
      <c r="C248" s="1"/>
      <c r="D248" s="1"/>
      <c r="E248" s="1"/>
      <c r="F248" s="25"/>
      <c r="G248" s="26"/>
      <c r="H248" s="26"/>
      <c r="I248" s="1"/>
      <c r="J248" s="1"/>
      <c r="K248" s="1"/>
      <c r="L248" s="1"/>
      <c r="M248" s="1"/>
      <c r="N248" s="1"/>
      <c r="O248" s="1"/>
      <c r="P248" s="1"/>
      <c r="Q248" s="1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1"/>
      <c r="B249" s="1"/>
      <c r="C249" s="1"/>
      <c r="D249" s="1"/>
      <c r="E249" s="1"/>
      <c r="F249" s="25"/>
      <c r="G249" s="26"/>
      <c r="H249" s="26"/>
      <c r="I249" s="1"/>
      <c r="J249" s="1"/>
      <c r="K249" s="1"/>
      <c r="L249" s="1"/>
      <c r="M249" s="1"/>
      <c r="N249" s="1"/>
      <c r="O249" s="1"/>
      <c r="P249" s="1"/>
      <c r="Q249" s="1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1"/>
      <c r="B250" s="1"/>
      <c r="C250" s="1"/>
      <c r="D250" s="1"/>
      <c r="E250" s="1"/>
      <c r="F250" s="25"/>
      <c r="G250" s="26"/>
      <c r="H250" s="26"/>
      <c r="I250" s="1"/>
      <c r="J250" s="1"/>
      <c r="K250" s="1"/>
      <c r="L250" s="1"/>
      <c r="M250" s="1"/>
      <c r="N250" s="1"/>
      <c r="O250" s="1"/>
      <c r="P250" s="1"/>
      <c r="Q250" s="1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1"/>
      <c r="B251" s="1"/>
      <c r="C251" s="1"/>
      <c r="D251" s="1"/>
      <c r="E251" s="1"/>
      <c r="F251" s="25"/>
      <c r="G251" s="26"/>
      <c r="H251" s="26"/>
      <c r="I251" s="1"/>
      <c r="J251" s="1"/>
      <c r="K251" s="1"/>
      <c r="L251" s="1"/>
      <c r="M251" s="1"/>
      <c r="N251" s="1"/>
      <c r="O251" s="1"/>
      <c r="P251" s="1"/>
      <c r="Q251" s="1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1"/>
      <c r="B252" s="1"/>
      <c r="C252" s="1"/>
      <c r="D252" s="1"/>
      <c r="E252" s="1"/>
      <c r="F252" s="25"/>
      <c r="G252" s="26"/>
      <c r="H252" s="26"/>
      <c r="I252" s="1"/>
      <c r="J252" s="1"/>
      <c r="K252" s="1"/>
      <c r="L252" s="1"/>
      <c r="M252" s="1"/>
      <c r="N252" s="1"/>
      <c r="O252" s="1"/>
      <c r="P252" s="1"/>
      <c r="Q252" s="1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1"/>
      <c r="B253" s="1"/>
      <c r="C253" s="1"/>
      <c r="D253" s="1"/>
      <c r="E253" s="1"/>
      <c r="F253" s="25"/>
      <c r="G253" s="26"/>
      <c r="H253" s="26"/>
      <c r="I253" s="1"/>
      <c r="J253" s="1"/>
      <c r="K253" s="1"/>
      <c r="L253" s="1"/>
      <c r="M253" s="1"/>
      <c r="N253" s="1"/>
      <c r="O253" s="1"/>
      <c r="P253" s="1"/>
      <c r="Q253" s="1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1"/>
      <c r="B254" s="1"/>
      <c r="C254" s="1"/>
      <c r="D254" s="1"/>
      <c r="E254" s="1"/>
      <c r="F254" s="25"/>
      <c r="G254" s="26"/>
      <c r="H254" s="26"/>
      <c r="I254" s="1"/>
      <c r="J254" s="1"/>
      <c r="K254" s="1"/>
      <c r="L254" s="1"/>
      <c r="M254" s="1"/>
      <c r="N254" s="1"/>
      <c r="O254" s="1"/>
      <c r="P254" s="1"/>
      <c r="Q254" s="1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29"/>
      <c r="G255" s="30"/>
      <c r="H255" s="30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29"/>
      <c r="G256" s="30"/>
      <c r="H256" s="30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29"/>
      <c r="G257" s="30"/>
      <c r="H257" s="30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29"/>
      <c r="G258" s="30"/>
      <c r="H258" s="30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29"/>
      <c r="G259" s="30"/>
      <c r="H259" s="30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29"/>
      <c r="G260" s="30"/>
      <c r="H260" s="30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</sheetData>
  <mergeCells count="9">
    <mergeCell ref="B94:D94"/>
    <mergeCell ref="E94:H94"/>
    <mergeCell ref="C98:G98"/>
    <mergeCell ref="B92:H92"/>
    <mergeCell ref="B8:C8"/>
    <mergeCell ref="B9:C9"/>
    <mergeCell ref="B10:C10"/>
    <mergeCell ref="B11:C11"/>
    <mergeCell ref="B12:C12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Formulario N°5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Steffi Rodriguez</dc:creator>
  <cp:lastModifiedBy>Priscilla Tapia</cp:lastModifiedBy>
  <dcterms:created xsi:type="dcterms:W3CDTF">2022-05-23T01:55:54Z</dcterms:created>
  <dcterms:modified xsi:type="dcterms:W3CDTF">2026-07-07T16:05:34Z</dcterms:modified>
</cp:coreProperties>
</file>