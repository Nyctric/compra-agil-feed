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5.- S2 ACUÑA\VIVERES\COMPRA AGIL VIVERES\3187-233-COT26 ADQUISICIÓN DE VIVERES JULIO 2026\"/>
    </mc:Choice>
  </mc:AlternateContent>
  <bookViews>
    <workbookView xWindow="0" yWindow="0" windowWidth="16380" windowHeight="8190" tabRatio="500"/>
  </bookViews>
  <sheets>
    <sheet name="COTIZACIÓN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7" i="1" l="1"/>
  <c r="G98" i="1" l="1"/>
  <c r="G100" i="1" s="1"/>
</calcChain>
</file>

<file path=xl/sharedStrings.xml><?xml version="1.0" encoding="utf-8"?>
<sst xmlns="http://schemas.openxmlformats.org/spreadsheetml/2006/main" count="185" uniqueCount="109">
  <si>
    <t>ARMADA DE CHILE</t>
  </si>
  <si>
    <t>COMANDANCIA EN JEFE DE LA IIIra ZONA NAVAL</t>
  </si>
  <si>
    <t>GOBERNACIÓN MARÍTIMA DE PUNTA ARENAS</t>
  </si>
  <si>
    <t>DEPTO. ABASTECIMIENTO Y FINANZAS</t>
  </si>
  <si>
    <t>RAZÓN SOCIAL PROVEEDOR:</t>
  </si>
  <si>
    <t>RUT PROVEEDOR:</t>
  </si>
  <si>
    <t>ORD.</t>
  </si>
  <si>
    <t>CANT.</t>
  </si>
  <si>
    <t>U/E</t>
  </si>
  <si>
    <t>DETALLE</t>
  </si>
  <si>
    <t>UNITARIO</t>
  </si>
  <si>
    <t>TOTAL</t>
  </si>
  <si>
    <t>UN</t>
  </si>
  <si>
    <t>KG</t>
  </si>
  <si>
    <t>PQ</t>
  </si>
  <si>
    <t>CANELA ENTERA 50 GR</t>
  </si>
  <si>
    <t>CALDO MAGGIE 12 TABLETAS CAX120 GRS.</t>
  </si>
  <si>
    <t>CHOCLO TROZO CONGELADO KILO</t>
  </si>
  <si>
    <t>CHORIZO KILO</t>
  </si>
  <si>
    <t>CREMA PARA BATIR LITRO</t>
  </si>
  <si>
    <t>BT</t>
  </si>
  <si>
    <t>FIDEOS CABELLOS DE ANGEL 400 GRS</t>
  </si>
  <si>
    <t>JAMÓN SÁNDWICH 500 GRS.</t>
  </si>
  <si>
    <t>JUGO DE LIMÓN LITRO</t>
  </si>
  <si>
    <t>MANTECA KILO</t>
  </si>
  <si>
    <t>MANTEQUILLA 250 GRS.</t>
  </si>
  <si>
    <t>MAYONESA KILO</t>
  </si>
  <si>
    <t>PESTO DE ALBAHACA 190 GRS.</t>
  </si>
  <si>
    <t>QUESILLO 320 GRS.</t>
  </si>
  <si>
    <t>QUESO GAUDA LAMINADO 500 GRS</t>
  </si>
  <si>
    <t>QUESO RALLADO REGGIANITO 80 GRS.</t>
  </si>
  <si>
    <t>SALSA DE SOYA LITRO</t>
  </si>
  <si>
    <t>VIENESAS KILO</t>
  </si>
  <si>
    <t>APIO</t>
  </si>
  <si>
    <t>BETARRAGA FRESCA</t>
  </si>
  <si>
    <t>CEBOLLÍN</t>
  </si>
  <si>
    <t>CILANTRO</t>
  </si>
  <si>
    <t>HUEVO BLANCO BANDEJA X 30 UNIDADES</t>
  </si>
  <si>
    <t>LECHUGA ESCAROLA</t>
  </si>
  <si>
    <t>MANZANA FUJI MEDIANA O SIMILAR</t>
  </si>
  <si>
    <t>NARANJA MEDIANA</t>
  </si>
  <si>
    <t>PEREJIL</t>
  </si>
  <si>
    <t>PIMENTÓN ROJO</t>
  </si>
  <si>
    <t>PIMENTÓN VERDE</t>
  </si>
  <si>
    <t>TOMATE</t>
  </si>
  <si>
    <t>ZANAHORIA</t>
  </si>
  <si>
    <t>ZAPALLO CAMOTE</t>
  </si>
  <si>
    <t>ZAPALLO ITALIANO</t>
  </si>
  <si>
    <t>DCTO</t>
  </si>
  <si>
    <t>NETO</t>
  </si>
  <si>
    <t>IVA 19%</t>
  </si>
  <si>
    <t>IMP. ADIC.</t>
  </si>
  <si>
    <t>JUGO INDIVIDUAL 200 CC CAJA SABORES</t>
  </si>
  <si>
    <t>PLATANO</t>
  </si>
  <si>
    <t>REPOLLO CRESPO</t>
  </si>
  <si>
    <r>
      <t>NOTA:</t>
    </r>
    <r>
      <rPr>
        <sz val="11"/>
        <color theme="1"/>
        <rFont val="Arial"/>
        <family val="2"/>
      </rPr>
      <t xml:space="preserve"> TENER PRESENTE DE INFORMAR EN LA COTIZACIÓN LO REQUERIDO EN LAS CONDICIONES AL PROVEEDOR DE ACUERDO A LOS DOCUMENTOS ADJUNTOS "ANEXO A" Y "MATRIZ DE DECISIÓN".</t>
    </r>
  </si>
  <si>
    <t>CJ</t>
  </si>
  <si>
    <t>BROCOLI FRESCO</t>
  </si>
  <si>
    <t>COLIFLOR FRESCO</t>
  </si>
  <si>
    <t>BROCOLI CONGELADO KILO</t>
  </si>
  <si>
    <t>COLIFLOR CONGELADO KILO</t>
  </si>
  <si>
    <t xml:space="preserve">LEVADURA 500 GRS </t>
  </si>
  <si>
    <t>MOSTAZA</t>
  </si>
  <si>
    <t>OREGANO 500 GRS</t>
  </si>
  <si>
    <t>PATE DE TERNERA</t>
  </si>
  <si>
    <t>PIMENTON CONGELADO KIILO</t>
  </si>
  <si>
    <t>POLVO DE HORNEAR 500 GRS.</t>
  </si>
  <si>
    <t>FR</t>
  </si>
  <si>
    <t>VAINILLA 250 ML</t>
  </si>
  <si>
    <t>ZANAHORIA CONGELADO KILO</t>
  </si>
  <si>
    <t>ZAPALLO CONGELADO KILO</t>
  </si>
  <si>
    <t>ACELGA</t>
  </si>
  <si>
    <t>AJÍ VERDE</t>
  </si>
  <si>
    <t>AJO FRESCO</t>
  </si>
  <si>
    <t>ALBAHACA</t>
  </si>
  <si>
    <t>PEPINO DE ENSALADA</t>
  </si>
  <si>
    <t>ACEITUNA SIN CAROSO KILO</t>
  </si>
  <si>
    <t>BIZCOCHO BRAUNICHOC UNIDAD</t>
  </si>
  <si>
    <t>CHORIZO PARILLERO CON CARNE ANGUS 500 GRS</t>
  </si>
  <si>
    <t>HUESILLOS KILO (ENVASES DE KILO)</t>
  </si>
  <si>
    <t xml:space="preserve">AJI EN PASTA KILO </t>
  </si>
  <si>
    <t>TA</t>
  </si>
  <si>
    <t>CHAMPIÑON EN CONSERVA 400 GRS</t>
  </si>
  <si>
    <t>MANJAR EN BOLSA KILO</t>
  </si>
  <si>
    <t>PECHUGA DE PAVO O POLLO ASADA 120 GRS.</t>
  </si>
  <si>
    <t>SEMOLA 500 GRS</t>
  </si>
  <si>
    <t>VINAGRE BLANCO 500 CC</t>
  </si>
  <si>
    <t>CHOCOLATE TRENCITO 24 GRS</t>
  </si>
  <si>
    <t>LECHE CONDENSADA 397 G</t>
  </si>
  <si>
    <t>COTIZACIÓN 3187-233-COT26</t>
  </si>
  <si>
    <t>AJO EN POLVO KILO</t>
  </si>
  <si>
    <t>ALIÑO COMPLETO KILO</t>
  </si>
  <si>
    <t>ARVEJAS CONGELADAS KILO</t>
  </si>
  <si>
    <t>AVENA INSTANTANEA</t>
  </si>
  <si>
    <t>BASE DE APANAR KILO</t>
  </si>
  <si>
    <t>CANELA MOLIDA 50 GR</t>
  </si>
  <si>
    <t>COMINO MOLIDO KILO</t>
  </si>
  <si>
    <t>HABAS CONGELADAS KILO</t>
  </si>
  <si>
    <t>KETCHUP KILO</t>
  </si>
  <si>
    <t>MAIZENA 500 GRS</t>
  </si>
  <si>
    <t>MANI 500 GRS</t>
  </si>
  <si>
    <t>MERKEN KILO</t>
  </si>
  <si>
    <t>PASAS 500 GRS</t>
  </si>
  <si>
    <t>PIMIENTA NEGRA MOLIDA MEDIO KILO</t>
  </si>
  <si>
    <t>QUESO CREMA 100 GRS</t>
  </si>
  <si>
    <t>SABORIZANTE MILO KILO</t>
  </si>
  <si>
    <t>SOFRITO CONGELADO KILO</t>
  </si>
  <si>
    <t>U</t>
  </si>
  <si>
    <t>REPOLLO 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</si>
</sst>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2C0A]#,##0\ ;[$$-2C0A]\-#,##0\ ;[$$-2C0A]&quot;- &quot;;@\ "/>
    <numFmt numFmtId="165" formatCode="[$$-2C0A]\ #,##0\ ;[$$-2C0A]&quot; -&quot;#,##0\ ;[$$-2C0A]&quot; - &quot;;@\ "/>
  </numFmts>
  <fonts count="14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6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7">
    <xf numFmtId="0" fontId="0" fillId="0" borderId="0" xfId="0"/>
    <xf numFmtId="0" fontId="2" fillId="0" borderId="0" xfId="0" applyFont="1" applyAlignment="1" applyProtection="1"/>
    <xf numFmtId="0" fontId="3" fillId="0" borderId="0" xfId="0" applyFont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3" fillId="0" borderId="0" xfId="0" applyFont="1" applyAlignment="1" applyProtection="1"/>
    <xf numFmtId="0" fontId="5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 vertical="center"/>
    </xf>
    <xf numFmtId="0" fontId="5" fillId="2" borderId="0" xfId="1" applyFont="1" applyFill="1" applyBorder="1" applyAlignment="1" applyProtection="1"/>
    <xf numFmtId="164" fontId="4" fillId="2" borderId="2" xfId="1" applyNumberFormat="1" applyFont="1" applyFill="1" applyBorder="1" applyAlignment="1" applyProtection="1">
      <alignment horizontal="center" vertical="center"/>
    </xf>
    <xf numFmtId="164" fontId="4" fillId="2" borderId="3" xfId="1" applyNumberFormat="1" applyFont="1" applyFill="1" applyBorder="1" applyAlignment="1" applyProtection="1">
      <alignment vertical="center"/>
    </xf>
    <xf numFmtId="0" fontId="4" fillId="2" borderId="4" xfId="1" applyFont="1" applyFill="1" applyBorder="1" applyAlignment="1" applyProtection="1">
      <alignment horizontal="center"/>
    </xf>
    <xf numFmtId="164" fontId="4" fillId="2" borderId="5" xfId="1" applyNumberFormat="1" applyFont="1" applyFill="1" applyBorder="1" applyAlignment="1" applyProtection="1">
      <alignment vertical="center"/>
    </xf>
    <xf numFmtId="0" fontId="2" fillId="0" borderId="0" xfId="1" applyFont="1" applyBorder="1" applyAlignment="1" applyProtection="1">
      <alignment horizontal="center"/>
    </xf>
    <xf numFmtId="0" fontId="2" fillId="0" borderId="0" xfId="1" applyFont="1" applyBorder="1" applyAlignment="1" applyProtection="1">
      <alignment horizontal="center" vertical="center"/>
    </xf>
    <xf numFmtId="0" fontId="2" fillId="0" borderId="0" xfId="1" applyFont="1" applyBorder="1" applyAlignment="1" applyProtection="1"/>
    <xf numFmtId="165" fontId="2" fillId="0" borderId="0" xfId="1" applyNumberFormat="1" applyFont="1" applyBorder="1" applyAlignment="1" applyProtection="1">
      <alignment horizontal="center" vertical="center"/>
    </xf>
    <xf numFmtId="165" fontId="2" fillId="0" borderId="0" xfId="1" applyNumberFormat="1" applyFont="1" applyBorder="1" applyAlignment="1" applyProtection="1">
      <alignment vertical="center"/>
    </xf>
    <xf numFmtId="164" fontId="4" fillId="2" borderId="6" xfId="1" applyNumberFormat="1" applyFont="1" applyFill="1" applyBorder="1" applyAlignment="1" applyProtection="1">
      <alignment horizontal="center" vertical="center"/>
    </xf>
    <xf numFmtId="164" fontId="4" fillId="2" borderId="7" xfId="1" applyNumberFormat="1" applyFont="1" applyFill="1" applyBorder="1" applyAlignment="1" applyProtection="1">
      <alignment vertical="center"/>
    </xf>
    <xf numFmtId="0" fontId="7" fillId="0" borderId="0" xfId="0" applyFont="1" applyAlignment="1" applyProtection="1">
      <alignment horizontal="center"/>
    </xf>
    <xf numFmtId="0" fontId="7" fillId="0" borderId="0" xfId="0" applyFont="1" applyBorder="1" applyAlignment="1" applyProtection="1">
      <alignment horizontal="center"/>
    </xf>
    <xf numFmtId="0" fontId="9" fillId="2" borderId="0" xfId="1" applyFont="1" applyFill="1" applyBorder="1" applyAlignment="1" applyProtection="1">
      <alignment horizontal="center" vertical="center"/>
    </xf>
    <xf numFmtId="0" fontId="7" fillId="0" borderId="0" xfId="1" applyFont="1" applyBorder="1" applyAlignment="1" applyProtection="1">
      <alignment horizontal="center"/>
    </xf>
    <xf numFmtId="2" fontId="5" fillId="2" borderId="8" xfId="1" applyNumberFormat="1" applyFont="1" applyFill="1" applyBorder="1" applyAlignment="1" applyProtection="1">
      <alignment horizontal="center" vertical="center"/>
    </xf>
    <xf numFmtId="0" fontId="9" fillId="2" borderId="10" xfId="1" applyFont="1" applyFill="1" applyBorder="1" applyAlignment="1" applyProtection="1">
      <alignment horizontal="center"/>
    </xf>
    <xf numFmtId="164" fontId="5" fillId="2" borderId="9" xfId="1" applyNumberFormat="1" applyFont="1" applyFill="1" applyBorder="1" applyAlignment="1" applyProtection="1">
      <alignment vertical="center"/>
    </xf>
    <xf numFmtId="0" fontId="9" fillId="2" borderId="11" xfId="1" applyFont="1" applyFill="1" applyBorder="1" applyAlignment="1" applyProtection="1">
      <alignment horizontal="center"/>
    </xf>
    <xf numFmtId="2" fontId="5" fillId="2" borderId="12" xfId="1" applyNumberFormat="1" applyFont="1" applyFill="1" applyBorder="1" applyAlignment="1" applyProtection="1">
      <alignment horizontal="center" vertical="center"/>
    </xf>
    <xf numFmtId="164" fontId="5" fillId="2" borderId="13" xfId="1" applyNumberFormat="1" applyFont="1" applyFill="1" applyBorder="1" applyAlignment="1" applyProtection="1">
      <alignment vertical="center"/>
    </xf>
    <xf numFmtId="0" fontId="8" fillId="0" borderId="1" xfId="0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justify" vertical="top"/>
    </xf>
    <xf numFmtId="0" fontId="11" fillId="3" borderId="8" xfId="0" applyNumberFormat="1" applyFont="1" applyFill="1" applyBorder="1" applyProtection="1"/>
    <xf numFmtId="0" fontId="10" fillId="3" borderId="8" xfId="0" applyNumberFormat="1" applyFont="1" applyFill="1" applyBorder="1" applyAlignment="1" applyProtection="1">
      <alignment horizontal="center"/>
    </xf>
    <xf numFmtId="0" fontId="11" fillId="3" borderId="8" xfId="0" applyNumberFormat="1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/>
    </xf>
    <xf numFmtId="0" fontId="12" fillId="2" borderId="8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/>
    <xf numFmtId="0" fontId="13" fillId="0" borderId="8" xfId="0" applyNumberFormat="1" applyFont="1" applyFill="1" applyBorder="1" applyAlignment="1" applyProtection="1"/>
    <xf numFmtId="0" fontId="13" fillId="0" borderId="12" xfId="0" applyNumberFormat="1" applyFont="1" applyFill="1" applyBorder="1" applyAlignment="1" applyProtection="1"/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/>
    <xf numFmtId="0" fontId="4" fillId="2" borderId="14" xfId="1" applyFont="1" applyFill="1" applyBorder="1" applyAlignment="1" applyProtection="1">
      <alignment horizontal="center"/>
    </xf>
    <xf numFmtId="0" fontId="9" fillId="2" borderId="15" xfId="1" applyFont="1" applyFill="1" applyBorder="1" applyAlignment="1" applyProtection="1">
      <alignment horizontal="center"/>
    </xf>
    <xf numFmtId="0" fontId="4" fillId="2" borderId="15" xfId="1" applyFont="1" applyFill="1" applyBorder="1" applyAlignment="1" applyProtection="1">
      <alignment horizontal="center"/>
    </xf>
    <xf numFmtId="0" fontId="4" fillId="2" borderId="16" xfId="1" applyFont="1" applyFill="1" applyBorder="1" applyAlignment="1" applyProtection="1">
      <alignment horizontal="center"/>
    </xf>
    <xf numFmtId="0" fontId="6" fillId="0" borderId="12" xfId="0" applyNumberFormat="1" applyFont="1" applyFill="1" applyBorder="1" applyAlignment="1" applyProtection="1"/>
  </cellXfs>
  <cellStyles count="2">
    <cellStyle name="Default 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3"/>
  <sheetViews>
    <sheetView tabSelected="1" zoomScale="115" zoomScaleNormal="115" workbookViewId="0">
      <selection activeCell="E10" sqref="E10"/>
    </sheetView>
  </sheetViews>
  <sheetFormatPr baseColWidth="10" defaultColWidth="11.42578125" defaultRowHeight="15" x14ac:dyDescent="0.25"/>
  <cols>
    <col min="1" max="1" width="4.28515625" style="1" customWidth="1"/>
    <col min="2" max="2" width="6.42578125" style="1" customWidth="1"/>
    <col min="3" max="3" width="9.140625" style="19" customWidth="1"/>
    <col min="4" max="4" width="8.28515625" style="1" customWidth="1"/>
    <col min="5" max="5" width="50.85546875" style="1" customWidth="1"/>
    <col min="6" max="6" width="13.7109375" style="1" customWidth="1"/>
    <col min="7" max="7" width="14" style="1" customWidth="1"/>
    <col min="8" max="16384" width="11.42578125" style="1"/>
  </cols>
  <sheetData>
    <row r="1" spans="2:7" x14ac:dyDescent="0.25">
      <c r="D1" s="2" t="s">
        <v>0</v>
      </c>
    </row>
    <row r="2" spans="2:7" x14ac:dyDescent="0.25">
      <c r="D2" s="2" t="s">
        <v>1</v>
      </c>
    </row>
    <row r="3" spans="2:7" x14ac:dyDescent="0.25">
      <c r="D3" s="2" t="s">
        <v>2</v>
      </c>
    </row>
    <row r="4" spans="2:7" x14ac:dyDescent="0.25">
      <c r="D4" s="2" t="s">
        <v>3</v>
      </c>
    </row>
    <row r="7" spans="2:7" ht="20.25" x14ac:dyDescent="0.3">
      <c r="B7" s="29" t="s">
        <v>89</v>
      </c>
      <c r="C7" s="29"/>
      <c r="D7" s="29"/>
      <c r="E7" s="29"/>
      <c r="F7" s="29"/>
      <c r="G7" s="29"/>
    </row>
    <row r="8" spans="2:7" x14ac:dyDescent="0.25">
      <c r="B8" s="3"/>
      <c r="C8" s="20"/>
      <c r="D8" s="3"/>
      <c r="E8" s="3"/>
      <c r="F8" s="3"/>
      <c r="G8" s="3"/>
    </row>
    <row r="9" spans="2:7" x14ac:dyDescent="0.25">
      <c r="B9" s="4" t="s">
        <v>4</v>
      </c>
    </row>
    <row r="10" spans="2:7" x14ac:dyDescent="0.25">
      <c r="B10" s="4" t="s">
        <v>5</v>
      </c>
    </row>
    <row r="11" spans="2:7" ht="15.75" thickBot="1" x14ac:dyDescent="0.3"/>
    <row r="12" spans="2:7" x14ac:dyDescent="0.25">
      <c r="B12" s="42" t="s">
        <v>6</v>
      </c>
      <c r="C12" s="43" t="s">
        <v>7</v>
      </c>
      <c r="D12" s="44" t="s">
        <v>8</v>
      </c>
      <c r="E12" s="44" t="s">
        <v>9</v>
      </c>
      <c r="F12" s="44" t="s">
        <v>10</v>
      </c>
      <c r="G12" s="45" t="s">
        <v>11</v>
      </c>
    </row>
    <row r="13" spans="2:7" x14ac:dyDescent="0.25">
      <c r="B13" s="24">
        <v>1</v>
      </c>
      <c r="C13" s="32">
        <v>6</v>
      </c>
      <c r="D13" s="33" t="s">
        <v>13</v>
      </c>
      <c r="E13" s="31" t="s">
        <v>76</v>
      </c>
      <c r="F13" s="23"/>
      <c r="G13" s="25"/>
    </row>
    <row r="14" spans="2:7" x14ac:dyDescent="0.25">
      <c r="B14" s="24">
        <v>2</v>
      </c>
      <c r="C14" s="32">
        <v>5</v>
      </c>
      <c r="D14" s="33" t="s">
        <v>13</v>
      </c>
      <c r="E14" s="31" t="s">
        <v>80</v>
      </c>
      <c r="F14" s="23"/>
      <c r="G14" s="25"/>
    </row>
    <row r="15" spans="2:7" x14ac:dyDescent="0.25">
      <c r="B15" s="24">
        <v>3</v>
      </c>
      <c r="C15" s="32">
        <v>5</v>
      </c>
      <c r="D15" s="33" t="s">
        <v>13</v>
      </c>
      <c r="E15" s="31" t="s">
        <v>90</v>
      </c>
      <c r="F15" s="23"/>
      <c r="G15" s="25"/>
    </row>
    <row r="16" spans="2:7" x14ac:dyDescent="0.25">
      <c r="B16" s="24">
        <v>4</v>
      </c>
      <c r="C16" s="32">
        <v>5</v>
      </c>
      <c r="D16" s="33" t="s">
        <v>13</v>
      </c>
      <c r="E16" s="31" t="s">
        <v>91</v>
      </c>
      <c r="F16" s="23"/>
      <c r="G16" s="25"/>
    </row>
    <row r="17" spans="2:7" x14ac:dyDescent="0.25">
      <c r="B17" s="24">
        <v>5</v>
      </c>
      <c r="C17" s="32">
        <v>30</v>
      </c>
      <c r="D17" s="33" t="s">
        <v>13</v>
      </c>
      <c r="E17" s="31" t="s">
        <v>92</v>
      </c>
      <c r="F17" s="23"/>
      <c r="G17" s="25"/>
    </row>
    <row r="18" spans="2:7" x14ac:dyDescent="0.25">
      <c r="B18" s="24">
        <v>6</v>
      </c>
      <c r="C18" s="32">
        <v>10</v>
      </c>
      <c r="D18" s="33" t="s">
        <v>56</v>
      </c>
      <c r="E18" s="31" t="s">
        <v>93</v>
      </c>
      <c r="F18" s="23"/>
      <c r="G18" s="25"/>
    </row>
    <row r="19" spans="2:7" x14ac:dyDescent="0.25">
      <c r="B19" s="24">
        <v>7</v>
      </c>
      <c r="C19" s="32">
        <v>5</v>
      </c>
      <c r="D19" s="33" t="s">
        <v>13</v>
      </c>
      <c r="E19" s="31" t="s">
        <v>94</v>
      </c>
      <c r="F19" s="23"/>
      <c r="G19" s="25"/>
    </row>
    <row r="20" spans="2:7" x14ac:dyDescent="0.25">
      <c r="B20" s="24">
        <v>8</v>
      </c>
      <c r="C20" s="32">
        <v>96</v>
      </c>
      <c r="D20" s="33" t="s">
        <v>12</v>
      </c>
      <c r="E20" s="31" t="s">
        <v>77</v>
      </c>
      <c r="F20" s="23"/>
      <c r="G20" s="25"/>
    </row>
    <row r="21" spans="2:7" x14ac:dyDescent="0.25">
      <c r="B21" s="24">
        <v>9</v>
      </c>
      <c r="C21" s="32">
        <v>32</v>
      </c>
      <c r="D21" s="33" t="s">
        <v>13</v>
      </c>
      <c r="E21" s="31" t="s">
        <v>59</v>
      </c>
      <c r="F21" s="23"/>
      <c r="G21" s="25"/>
    </row>
    <row r="22" spans="2:7" x14ac:dyDescent="0.25">
      <c r="B22" s="24">
        <v>10</v>
      </c>
      <c r="C22" s="32">
        <v>6</v>
      </c>
      <c r="D22" s="33" t="s">
        <v>56</v>
      </c>
      <c r="E22" s="31" t="s">
        <v>16</v>
      </c>
      <c r="F22" s="23"/>
      <c r="G22" s="25"/>
    </row>
    <row r="23" spans="2:7" x14ac:dyDescent="0.25">
      <c r="B23" s="24">
        <v>11</v>
      </c>
      <c r="C23" s="32">
        <v>4</v>
      </c>
      <c r="D23" s="33" t="s">
        <v>14</v>
      </c>
      <c r="E23" s="31" t="s">
        <v>95</v>
      </c>
      <c r="F23" s="23"/>
      <c r="G23" s="25"/>
    </row>
    <row r="24" spans="2:7" x14ac:dyDescent="0.25">
      <c r="B24" s="24">
        <v>12</v>
      </c>
      <c r="C24" s="32">
        <v>11</v>
      </c>
      <c r="D24" s="33" t="s">
        <v>14</v>
      </c>
      <c r="E24" s="31" t="s">
        <v>15</v>
      </c>
      <c r="F24" s="23"/>
      <c r="G24" s="25"/>
    </row>
    <row r="25" spans="2:7" x14ac:dyDescent="0.25">
      <c r="B25" s="24">
        <v>13</v>
      </c>
      <c r="C25" s="32">
        <v>16</v>
      </c>
      <c r="D25" s="33" t="s">
        <v>81</v>
      </c>
      <c r="E25" s="31" t="s">
        <v>82</v>
      </c>
      <c r="F25" s="23"/>
      <c r="G25" s="25"/>
    </row>
    <row r="26" spans="2:7" x14ac:dyDescent="0.25">
      <c r="B26" s="24">
        <v>14</v>
      </c>
      <c r="C26" s="34">
        <v>90</v>
      </c>
      <c r="D26" s="35" t="s">
        <v>12</v>
      </c>
      <c r="E26" s="36" t="s">
        <v>87</v>
      </c>
      <c r="F26" s="23"/>
      <c r="G26" s="25"/>
    </row>
    <row r="27" spans="2:7" x14ac:dyDescent="0.25">
      <c r="B27" s="24">
        <v>15</v>
      </c>
      <c r="C27" s="32">
        <v>62</v>
      </c>
      <c r="D27" s="33" t="s">
        <v>13</v>
      </c>
      <c r="E27" s="31" t="s">
        <v>17</v>
      </c>
      <c r="F27" s="23"/>
      <c r="G27" s="25"/>
    </row>
    <row r="28" spans="2:7" x14ac:dyDescent="0.25">
      <c r="B28" s="24">
        <v>16</v>
      </c>
      <c r="C28" s="32">
        <v>36</v>
      </c>
      <c r="D28" s="33" t="s">
        <v>13</v>
      </c>
      <c r="E28" s="31" t="s">
        <v>18</v>
      </c>
      <c r="F28" s="23"/>
      <c r="G28" s="25"/>
    </row>
    <row r="29" spans="2:7" x14ac:dyDescent="0.25">
      <c r="B29" s="24">
        <v>17</v>
      </c>
      <c r="C29" s="32">
        <v>10</v>
      </c>
      <c r="D29" s="33" t="s">
        <v>14</v>
      </c>
      <c r="E29" s="31" t="s">
        <v>78</v>
      </c>
      <c r="F29" s="23"/>
      <c r="G29" s="25"/>
    </row>
    <row r="30" spans="2:7" x14ac:dyDescent="0.25">
      <c r="B30" s="24">
        <v>18</v>
      </c>
      <c r="C30" s="32">
        <v>21</v>
      </c>
      <c r="D30" s="33" t="s">
        <v>14</v>
      </c>
      <c r="E30" s="31" t="s">
        <v>60</v>
      </c>
      <c r="F30" s="23"/>
      <c r="G30" s="25"/>
    </row>
    <row r="31" spans="2:7" x14ac:dyDescent="0.25">
      <c r="B31" s="24">
        <v>19</v>
      </c>
      <c r="C31" s="32">
        <v>2</v>
      </c>
      <c r="D31" s="33" t="s">
        <v>13</v>
      </c>
      <c r="E31" s="31" t="s">
        <v>96</v>
      </c>
      <c r="F31" s="23"/>
      <c r="G31" s="25"/>
    </row>
    <row r="32" spans="2:7" x14ac:dyDescent="0.25">
      <c r="B32" s="24">
        <v>20</v>
      </c>
      <c r="C32" s="32">
        <v>37</v>
      </c>
      <c r="D32" s="33" t="s">
        <v>12</v>
      </c>
      <c r="E32" s="31" t="s">
        <v>19</v>
      </c>
      <c r="F32" s="23"/>
      <c r="G32" s="25"/>
    </row>
    <row r="33" spans="2:7" x14ac:dyDescent="0.25">
      <c r="B33" s="24">
        <v>21</v>
      </c>
      <c r="C33" s="32">
        <v>12</v>
      </c>
      <c r="D33" s="33" t="s">
        <v>14</v>
      </c>
      <c r="E33" s="31" t="s">
        <v>21</v>
      </c>
      <c r="F33" s="23"/>
      <c r="G33" s="25"/>
    </row>
    <row r="34" spans="2:7" x14ac:dyDescent="0.25">
      <c r="B34" s="24">
        <v>22</v>
      </c>
      <c r="C34" s="32">
        <v>10</v>
      </c>
      <c r="D34" s="33" t="s">
        <v>13</v>
      </c>
      <c r="E34" s="31" t="s">
        <v>97</v>
      </c>
      <c r="F34" s="23"/>
      <c r="G34" s="25"/>
    </row>
    <row r="35" spans="2:7" x14ac:dyDescent="0.25">
      <c r="B35" s="24">
        <v>23</v>
      </c>
      <c r="C35" s="32">
        <v>13</v>
      </c>
      <c r="D35" s="33" t="s">
        <v>14</v>
      </c>
      <c r="E35" s="31" t="s">
        <v>79</v>
      </c>
      <c r="F35" s="23"/>
      <c r="G35" s="25"/>
    </row>
    <row r="36" spans="2:7" x14ac:dyDescent="0.25">
      <c r="B36" s="24">
        <v>24</v>
      </c>
      <c r="C36" s="32">
        <v>88</v>
      </c>
      <c r="D36" s="33" t="s">
        <v>14</v>
      </c>
      <c r="E36" s="31" t="s">
        <v>22</v>
      </c>
      <c r="F36" s="23"/>
      <c r="G36" s="25"/>
    </row>
    <row r="37" spans="2:7" x14ac:dyDescent="0.25">
      <c r="B37" s="24">
        <v>25</v>
      </c>
      <c r="C37" s="32">
        <v>120</v>
      </c>
      <c r="D37" s="33" t="s">
        <v>12</v>
      </c>
      <c r="E37" s="31" t="s">
        <v>52</v>
      </c>
      <c r="F37" s="23"/>
      <c r="G37" s="25"/>
    </row>
    <row r="38" spans="2:7" x14ac:dyDescent="0.25">
      <c r="B38" s="24">
        <v>26</v>
      </c>
      <c r="C38" s="32">
        <v>41</v>
      </c>
      <c r="D38" s="33" t="s">
        <v>12</v>
      </c>
      <c r="E38" s="31" t="s">
        <v>23</v>
      </c>
      <c r="F38" s="23"/>
      <c r="G38" s="25"/>
    </row>
    <row r="39" spans="2:7" x14ac:dyDescent="0.25">
      <c r="B39" s="24">
        <v>27</v>
      </c>
      <c r="C39" s="32">
        <v>10</v>
      </c>
      <c r="D39" s="33" t="s">
        <v>13</v>
      </c>
      <c r="E39" s="31" t="s">
        <v>98</v>
      </c>
      <c r="F39" s="23"/>
      <c r="G39" s="25"/>
    </row>
    <row r="40" spans="2:7" x14ac:dyDescent="0.25">
      <c r="B40" s="24">
        <v>28</v>
      </c>
      <c r="C40" s="32">
        <v>11</v>
      </c>
      <c r="D40" s="33" t="s">
        <v>81</v>
      </c>
      <c r="E40" s="31" t="s">
        <v>88</v>
      </c>
      <c r="F40" s="23"/>
      <c r="G40" s="25"/>
    </row>
    <row r="41" spans="2:7" x14ac:dyDescent="0.25">
      <c r="B41" s="24">
        <v>29</v>
      </c>
      <c r="C41" s="32">
        <v>10</v>
      </c>
      <c r="D41" s="33" t="s">
        <v>14</v>
      </c>
      <c r="E41" s="31" t="s">
        <v>61</v>
      </c>
      <c r="F41" s="23"/>
      <c r="G41" s="25"/>
    </row>
    <row r="42" spans="2:7" x14ac:dyDescent="0.25">
      <c r="B42" s="24">
        <v>30</v>
      </c>
      <c r="C42" s="32">
        <v>10</v>
      </c>
      <c r="D42" s="33" t="s">
        <v>14</v>
      </c>
      <c r="E42" s="31" t="s">
        <v>99</v>
      </c>
      <c r="F42" s="23"/>
      <c r="G42" s="25"/>
    </row>
    <row r="43" spans="2:7" x14ac:dyDescent="0.25">
      <c r="B43" s="24">
        <v>31</v>
      </c>
      <c r="C43" s="32">
        <v>5</v>
      </c>
      <c r="D43" s="33" t="s">
        <v>14</v>
      </c>
      <c r="E43" s="31" t="s">
        <v>100</v>
      </c>
      <c r="F43" s="23"/>
      <c r="G43" s="25"/>
    </row>
    <row r="44" spans="2:7" x14ac:dyDescent="0.25">
      <c r="B44" s="24">
        <v>32</v>
      </c>
      <c r="C44" s="32">
        <v>15</v>
      </c>
      <c r="D44" s="33" t="s">
        <v>13</v>
      </c>
      <c r="E44" s="31" t="s">
        <v>83</v>
      </c>
      <c r="F44" s="23"/>
      <c r="G44" s="25"/>
    </row>
    <row r="45" spans="2:7" x14ac:dyDescent="0.25">
      <c r="B45" s="24">
        <v>33</v>
      </c>
      <c r="C45" s="32">
        <v>43</v>
      </c>
      <c r="D45" s="33" t="s">
        <v>12</v>
      </c>
      <c r="E45" s="31" t="s">
        <v>24</v>
      </c>
      <c r="F45" s="23"/>
      <c r="G45" s="25"/>
    </row>
    <row r="46" spans="2:7" x14ac:dyDescent="0.25">
      <c r="B46" s="24">
        <v>34</v>
      </c>
      <c r="C46" s="32">
        <v>154</v>
      </c>
      <c r="D46" s="33" t="s">
        <v>12</v>
      </c>
      <c r="E46" s="31" t="s">
        <v>25</v>
      </c>
      <c r="F46" s="23"/>
      <c r="G46" s="25"/>
    </row>
    <row r="47" spans="2:7" x14ac:dyDescent="0.25">
      <c r="B47" s="24">
        <v>35</v>
      </c>
      <c r="C47" s="32">
        <v>46</v>
      </c>
      <c r="D47" s="33" t="s">
        <v>12</v>
      </c>
      <c r="E47" s="31" t="s">
        <v>26</v>
      </c>
      <c r="F47" s="23"/>
      <c r="G47" s="25"/>
    </row>
    <row r="48" spans="2:7" x14ac:dyDescent="0.25">
      <c r="B48" s="24">
        <v>36</v>
      </c>
      <c r="C48" s="32">
        <v>4</v>
      </c>
      <c r="D48" s="33" t="s">
        <v>13</v>
      </c>
      <c r="E48" s="31" t="s">
        <v>101</v>
      </c>
      <c r="F48" s="23"/>
      <c r="G48" s="25"/>
    </row>
    <row r="49" spans="2:7" x14ac:dyDescent="0.25">
      <c r="B49" s="24">
        <v>37</v>
      </c>
      <c r="C49" s="32">
        <v>15</v>
      </c>
      <c r="D49" s="33" t="s">
        <v>13</v>
      </c>
      <c r="E49" s="31" t="s">
        <v>62</v>
      </c>
      <c r="F49" s="23"/>
      <c r="G49" s="25"/>
    </row>
    <row r="50" spans="2:7" x14ac:dyDescent="0.25">
      <c r="B50" s="24">
        <v>38</v>
      </c>
      <c r="C50" s="32">
        <v>3</v>
      </c>
      <c r="D50" s="33" t="s">
        <v>14</v>
      </c>
      <c r="E50" s="31" t="s">
        <v>63</v>
      </c>
      <c r="F50" s="23"/>
      <c r="G50" s="25"/>
    </row>
    <row r="51" spans="2:7" x14ac:dyDescent="0.25">
      <c r="B51" s="24">
        <v>39</v>
      </c>
      <c r="C51" s="32">
        <v>5</v>
      </c>
      <c r="D51" s="33" t="s">
        <v>14</v>
      </c>
      <c r="E51" s="31" t="s">
        <v>102</v>
      </c>
      <c r="F51" s="23"/>
      <c r="G51" s="25"/>
    </row>
    <row r="52" spans="2:7" x14ac:dyDescent="0.25">
      <c r="B52" s="24">
        <v>40</v>
      </c>
      <c r="C52" s="32">
        <v>85</v>
      </c>
      <c r="D52" s="33" t="s">
        <v>12</v>
      </c>
      <c r="E52" s="31" t="s">
        <v>64</v>
      </c>
      <c r="F52" s="23"/>
      <c r="G52" s="25"/>
    </row>
    <row r="53" spans="2:7" x14ac:dyDescent="0.25">
      <c r="B53" s="24">
        <v>41</v>
      </c>
      <c r="C53" s="32">
        <v>94</v>
      </c>
      <c r="D53" s="33" t="s">
        <v>14</v>
      </c>
      <c r="E53" s="31" t="s">
        <v>84</v>
      </c>
      <c r="F53" s="23"/>
      <c r="G53" s="25"/>
    </row>
    <row r="54" spans="2:7" x14ac:dyDescent="0.25">
      <c r="B54" s="24">
        <v>42</v>
      </c>
      <c r="C54" s="32">
        <v>31</v>
      </c>
      <c r="D54" s="33" t="s">
        <v>12</v>
      </c>
      <c r="E54" s="31" t="s">
        <v>27</v>
      </c>
      <c r="F54" s="23"/>
      <c r="G54" s="25"/>
    </row>
    <row r="55" spans="2:7" x14ac:dyDescent="0.25">
      <c r="B55" s="24">
        <v>43</v>
      </c>
      <c r="C55" s="32">
        <v>1</v>
      </c>
      <c r="D55" s="33" t="s">
        <v>13</v>
      </c>
      <c r="E55" s="31" t="s">
        <v>103</v>
      </c>
      <c r="F55" s="23"/>
      <c r="G55" s="25"/>
    </row>
    <row r="56" spans="2:7" x14ac:dyDescent="0.25">
      <c r="B56" s="24">
        <v>44</v>
      </c>
      <c r="C56" s="32">
        <v>19</v>
      </c>
      <c r="D56" s="33" t="s">
        <v>13</v>
      </c>
      <c r="E56" s="31" t="s">
        <v>65</v>
      </c>
      <c r="F56" s="23"/>
      <c r="G56" s="25"/>
    </row>
    <row r="57" spans="2:7" x14ac:dyDescent="0.25">
      <c r="B57" s="24">
        <v>45</v>
      </c>
      <c r="C57" s="32">
        <v>15</v>
      </c>
      <c r="D57" s="33" t="s">
        <v>12</v>
      </c>
      <c r="E57" s="31" t="s">
        <v>66</v>
      </c>
      <c r="F57" s="23"/>
      <c r="G57" s="25"/>
    </row>
    <row r="58" spans="2:7" x14ac:dyDescent="0.25">
      <c r="B58" s="24">
        <v>46</v>
      </c>
      <c r="C58" s="32">
        <v>6</v>
      </c>
      <c r="D58" s="33" t="s">
        <v>12</v>
      </c>
      <c r="E58" s="31" t="s">
        <v>28</v>
      </c>
      <c r="F58" s="23"/>
      <c r="G58" s="25"/>
    </row>
    <row r="59" spans="2:7" x14ac:dyDescent="0.25">
      <c r="B59" s="24">
        <v>47</v>
      </c>
      <c r="C59" s="32">
        <v>15</v>
      </c>
      <c r="D59" s="33" t="s">
        <v>12</v>
      </c>
      <c r="E59" s="31" t="s">
        <v>104</v>
      </c>
      <c r="F59" s="23"/>
      <c r="G59" s="25"/>
    </row>
    <row r="60" spans="2:7" x14ac:dyDescent="0.25">
      <c r="B60" s="24">
        <v>48</v>
      </c>
      <c r="C60" s="32">
        <v>140</v>
      </c>
      <c r="D60" s="33" t="s">
        <v>14</v>
      </c>
      <c r="E60" s="31" t="s">
        <v>29</v>
      </c>
      <c r="F60" s="23"/>
      <c r="G60" s="25"/>
    </row>
    <row r="61" spans="2:7" x14ac:dyDescent="0.25">
      <c r="B61" s="24">
        <v>49</v>
      </c>
      <c r="C61" s="32">
        <v>93</v>
      </c>
      <c r="D61" s="33" t="s">
        <v>12</v>
      </c>
      <c r="E61" s="31" t="s">
        <v>30</v>
      </c>
      <c r="F61" s="23"/>
      <c r="G61" s="25"/>
    </row>
    <row r="62" spans="2:7" x14ac:dyDescent="0.25">
      <c r="B62" s="24">
        <v>50</v>
      </c>
      <c r="C62" s="32">
        <v>3</v>
      </c>
      <c r="D62" s="33" t="s">
        <v>14</v>
      </c>
      <c r="E62" s="31" t="s">
        <v>105</v>
      </c>
      <c r="F62" s="23"/>
      <c r="G62" s="25"/>
    </row>
    <row r="63" spans="2:7" x14ac:dyDescent="0.25">
      <c r="B63" s="24">
        <v>51</v>
      </c>
      <c r="C63" s="32">
        <v>12</v>
      </c>
      <c r="D63" s="33" t="s">
        <v>20</v>
      </c>
      <c r="E63" s="31" t="s">
        <v>31</v>
      </c>
      <c r="F63" s="23"/>
      <c r="G63" s="25"/>
    </row>
    <row r="64" spans="2:7" x14ac:dyDescent="0.25">
      <c r="B64" s="24">
        <v>52</v>
      </c>
      <c r="C64" s="32">
        <v>5</v>
      </c>
      <c r="D64" s="33" t="s">
        <v>14</v>
      </c>
      <c r="E64" s="31" t="s">
        <v>85</v>
      </c>
      <c r="F64" s="23"/>
      <c r="G64" s="25"/>
    </row>
    <row r="65" spans="2:7" x14ac:dyDescent="0.25">
      <c r="B65" s="24">
        <v>53</v>
      </c>
      <c r="C65" s="32">
        <v>10</v>
      </c>
      <c r="D65" s="33" t="s">
        <v>14</v>
      </c>
      <c r="E65" s="31" t="s">
        <v>106</v>
      </c>
      <c r="F65" s="23"/>
      <c r="G65" s="25"/>
    </row>
    <row r="66" spans="2:7" x14ac:dyDescent="0.25">
      <c r="B66" s="24">
        <v>54</v>
      </c>
      <c r="C66" s="32">
        <v>10</v>
      </c>
      <c r="D66" s="33" t="s">
        <v>67</v>
      </c>
      <c r="E66" s="31" t="s">
        <v>68</v>
      </c>
      <c r="F66" s="23"/>
      <c r="G66" s="25"/>
    </row>
    <row r="67" spans="2:7" x14ac:dyDescent="0.25">
      <c r="B67" s="24">
        <v>55</v>
      </c>
      <c r="C67" s="32">
        <v>7</v>
      </c>
      <c r="D67" s="33" t="s">
        <v>20</v>
      </c>
      <c r="E67" s="31" t="s">
        <v>86</v>
      </c>
      <c r="F67" s="23"/>
      <c r="G67" s="25"/>
    </row>
    <row r="68" spans="2:7" x14ac:dyDescent="0.25">
      <c r="B68" s="24">
        <v>56</v>
      </c>
      <c r="C68" s="32">
        <v>39</v>
      </c>
      <c r="D68" s="33" t="s">
        <v>12</v>
      </c>
      <c r="E68" s="31" t="s">
        <v>32</v>
      </c>
      <c r="F68" s="23"/>
      <c r="G68" s="25"/>
    </row>
    <row r="69" spans="2:7" x14ac:dyDescent="0.25">
      <c r="B69" s="24">
        <v>57</v>
      </c>
      <c r="C69" s="32">
        <v>35</v>
      </c>
      <c r="D69" s="33" t="s">
        <v>14</v>
      </c>
      <c r="E69" s="31" t="s">
        <v>69</v>
      </c>
      <c r="F69" s="23"/>
      <c r="G69" s="25"/>
    </row>
    <row r="70" spans="2:7" x14ac:dyDescent="0.25">
      <c r="B70" s="24">
        <v>58</v>
      </c>
      <c r="C70" s="32">
        <v>29</v>
      </c>
      <c r="D70" s="33" t="s">
        <v>14</v>
      </c>
      <c r="E70" s="31" t="s">
        <v>70</v>
      </c>
      <c r="F70" s="23"/>
      <c r="G70" s="25"/>
    </row>
    <row r="71" spans="2:7" ht="15.75" x14ac:dyDescent="0.25">
      <c r="B71" s="24">
        <v>59</v>
      </c>
      <c r="C71" s="37">
        <v>28</v>
      </c>
      <c r="D71" s="39" t="s">
        <v>14</v>
      </c>
      <c r="E71" s="41" t="s">
        <v>71</v>
      </c>
      <c r="F71" s="23"/>
      <c r="G71" s="25"/>
    </row>
    <row r="72" spans="2:7" ht="15.75" x14ac:dyDescent="0.25">
      <c r="B72" s="24">
        <v>60</v>
      </c>
      <c r="C72" s="37">
        <v>40</v>
      </c>
      <c r="D72" s="39" t="s">
        <v>12</v>
      </c>
      <c r="E72" s="41" t="s">
        <v>72</v>
      </c>
      <c r="F72" s="23"/>
      <c r="G72" s="25"/>
    </row>
    <row r="73" spans="2:7" ht="15.75" x14ac:dyDescent="0.25">
      <c r="B73" s="24">
        <v>61</v>
      </c>
      <c r="C73" s="37">
        <v>75</v>
      </c>
      <c r="D73" s="39" t="s">
        <v>12</v>
      </c>
      <c r="E73" s="41" t="s">
        <v>73</v>
      </c>
      <c r="F73" s="23"/>
      <c r="G73" s="25"/>
    </row>
    <row r="74" spans="2:7" ht="15.75" x14ac:dyDescent="0.25">
      <c r="B74" s="24">
        <v>62</v>
      </c>
      <c r="C74" s="37">
        <v>4</v>
      </c>
      <c r="D74" s="39" t="s">
        <v>14</v>
      </c>
      <c r="E74" s="41" t="s">
        <v>74</v>
      </c>
      <c r="F74" s="23"/>
      <c r="G74" s="25"/>
    </row>
    <row r="75" spans="2:7" ht="15.75" x14ac:dyDescent="0.25">
      <c r="B75" s="24">
        <v>63</v>
      </c>
      <c r="C75" s="37">
        <v>14</v>
      </c>
      <c r="D75" s="39" t="s">
        <v>12</v>
      </c>
      <c r="E75" s="41" t="s">
        <v>33</v>
      </c>
      <c r="F75" s="23"/>
      <c r="G75" s="25"/>
    </row>
    <row r="76" spans="2:7" ht="15.75" x14ac:dyDescent="0.25">
      <c r="B76" s="24">
        <v>64</v>
      </c>
      <c r="C76" s="37">
        <v>42</v>
      </c>
      <c r="D76" s="39" t="s">
        <v>13</v>
      </c>
      <c r="E76" s="41" t="s">
        <v>34</v>
      </c>
      <c r="F76" s="23"/>
      <c r="G76" s="25"/>
    </row>
    <row r="77" spans="2:7" ht="15.75" x14ac:dyDescent="0.25">
      <c r="B77" s="24">
        <v>65</v>
      </c>
      <c r="C77" s="37">
        <v>10</v>
      </c>
      <c r="D77" s="39" t="s">
        <v>12</v>
      </c>
      <c r="E77" s="41" t="s">
        <v>57</v>
      </c>
      <c r="F77" s="23"/>
      <c r="G77" s="25"/>
    </row>
    <row r="78" spans="2:7" ht="15.75" x14ac:dyDescent="0.25">
      <c r="B78" s="24">
        <v>66</v>
      </c>
      <c r="C78" s="37">
        <v>28</v>
      </c>
      <c r="D78" s="39" t="s">
        <v>14</v>
      </c>
      <c r="E78" s="41" t="s">
        <v>35</v>
      </c>
      <c r="F78" s="23"/>
      <c r="G78" s="25"/>
    </row>
    <row r="79" spans="2:7" ht="15.75" x14ac:dyDescent="0.25">
      <c r="B79" s="24">
        <v>67</v>
      </c>
      <c r="C79" s="37">
        <v>28</v>
      </c>
      <c r="D79" s="39" t="s">
        <v>14</v>
      </c>
      <c r="E79" s="41" t="s">
        <v>36</v>
      </c>
      <c r="F79" s="23"/>
      <c r="G79" s="25"/>
    </row>
    <row r="80" spans="2:7" ht="15.75" x14ac:dyDescent="0.25">
      <c r="B80" s="24">
        <v>68</v>
      </c>
      <c r="C80" s="37">
        <v>2</v>
      </c>
      <c r="D80" s="39" t="s">
        <v>12</v>
      </c>
      <c r="E80" s="41" t="s">
        <v>58</v>
      </c>
      <c r="F80" s="23"/>
      <c r="G80" s="25"/>
    </row>
    <row r="81" spans="2:7" ht="15.75" x14ac:dyDescent="0.25">
      <c r="B81" s="24">
        <v>69</v>
      </c>
      <c r="C81" s="37">
        <v>87</v>
      </c>
      <c r="D81" s="39" t="s">
        <v>12</v>
      </c>
      <c r="E81" s="41" t="s">
        <v>37</v>
      </c>
      <c r="F81" s="23"/>
      <c r="G81" s="25"/>
    </row>
    <row r="82" spans="2:7" ht="15.75" x14ac:dyDescent="0.25">
      <c r="B82" s="24">
        <v>70</v>
      </c>
      <c r="C82" s="37">
        <v>62</v>
      </c>
      <c r="D82" s="39" t="s">
        <v>12</v>
      </c>
      <c r="E82" s="41" t="s">
        <v>38</v>
      </c>
      <c r="F82" s="23"/>
      <c r="G82" s="25"/>
    </row>
    <row r="83" spans="2:7" ht="15.75" x14ac:dyDescent="0.25">
      <c r="B83" s="24">
        <v>71</v>
      </c>
      <c r="C83" s="37">
        <v>118</v>
      </c>
      <c r="D83" s="39" t="s">
        <v>13</v>
      </c>
      <c r="E83" s="41" t="s">
        <v>39</v>
      </c>
      <c r="F83" s="23"/>
      <c r="G83" s="25"/>
    </row>
    <row r="84" spans="2:7" ht="15.75" x14ac:dyDescent="0.25">
      <c r="B84" s="24">
        <v>72</v>
      </c>
      <c r="C84" s="37">
        <v>104</v>
      </c>
      <c r="D84" s="39" t="s">
        <v>13</v>
      </c>
      <c r="E84" s="41" t="s">
        <v>40</v>
      </c>
      <c r="F84" s="23"/>
      <c r="G84" s="25"/>
    </row>
    <row r="85" spans="2:7" ht="15.75" x14ac:dyDescent="0.25">
      <c r="B85" s="24">
        <v>73</v>
      </c>
      <c r="C85" s="37">
        <v>28</v>
      </c>
      <c r="D85" s="39" t="s">
        <v>14</v>
      </c>
      <c r="E85" s="41" t="s">
        <v>41</v>
      </c>
      <c r="F85" s="23"/>
      <c r="G85" s="25"/>
    </row>
    <row r="86" spans="2:7" ht="15.75" x14ac:dyDescent="0.25">
      <c r="B86" s="24">
        <v>74</v>
      </c>
      <c r="C86" s="37">
        <v>14</v>
      </c>
      <c r="D86" s="39" t="s">
        <v>12</v>
      </c>
      <c r="E86" s="41" t="s">
        <v>75</v>
      </c>
      <c r="F86" s="23"/>
      <c r="G86" s="25"/>
    </row>
    <row r="87" spans="2:7" ht="15.75" x14ac:dyDescent="0.25">
      <c r="B87" s="24">
        <v>75</v>
      </c>
      <c r="C87" s="37">
        <v>128</v>
      </c>
      <c r="D87" s="39" t="s">
        <v>12</v>
      </c>
      <c r="E87" s="41" t="s">
        <v>42</v>
      </c>
      <c r="F87" s="23"/>
      <c r="G87" s="25"/>
    </row>
    <row r="88" spans="2:7" ht="15.75" x14ac:dyDescent="0.25">
      <c r="B88" s="24">
        <v>76</v>
      </c>
      <c r="C88" s="37">
        <v>14</v>
      </c>
      <c r="D88" s="39" t="s">
        <v>12</v>
      </c>
      <c r="E88" s="41" t="s">
        <v>43</v>
      </c>
      <c r="F88" s="23"/>
      <c r="G88" s="25"/>
    </row>
    <row r="89" spans="2:7" ht="15.75" x14ac:dyDescent="0.25">
      <c r="B89" s="24">
        <v>77</v>
      </c>
      <c r="C89" s="37">
        <v>116</v>
      </c>
      <c r="D89" s="39" t="s">
        <v>13</v>
      </c>
      <c r="E89" s="41" t="s">
        <v>53</v>
      </c>
      <c r="F89" s="23"/>
      <c r="G89" s="25"/>
    </row>
    <row r="90" spans="2:7" ht="15.75" x14ac:dyDescent="0.25">
      <c r="B90" s="24">
        <v>78</v>
      </c>
      <c r="C90" s="37">
        <v>2</v>
      </c>
      <c r="D90" s="39" t="s">
        <v>12</v>
      </c>
      <c r="E90" s="41" t="s">
        <v>54</v>
      </c>
      <c r="F90" s="23"/>
      <c r="G90" s="25"/>
    </row>
    <row r="91" spans="2:7" ht="15.75" x14ac:dyDescent="0.25">
      <c r="B91" s="24">
        <v>79</v>
      </c>
      <c r="C91" s="37">
        <v>1</v>
      </c>
      <c r="D91" s="39" t="s">
        <v>107</v>
      </c>
      <c r="E91" s="41" t="s">
        <v>108</v>
      </c>
      <c r="F91" s="23"/>
      <c r="G91" s="25"/>
    </row>
    <row r="92" spans="2:7" ht="15.75" x14ac:dyDescent="0.25">
      <c r="B92" s="24">
        <v>80</v>
      </c>
      <c r="C92" s="37">
        <v>38</v>
      </c>
      <c r="D92" s="39" t="s">
        <v>13</v>
      </c>
      <c r="E92" s="41" t="s">
        <v>44</v>
      </c>
      <c r="F92" s="23"/>
      <c r="G92" s="25"/>
    </row>
    <row r="93" spans="2:7" ht="15.75" x14ac:dyDescent="0.25">
      <c r="B93" s="24">
        <v>81</v>
      </c>
      <c r="C93" s="37">
        <v>43</v>
      </c>
      <c r="D93" s="39" t="s">
        <v>13</v>
      </c>
      <c r="E93" s="41" t="s">
        <v>45</v>
      </c>
      <c r="F93" s="23"/>
      <c r="G93" s="25"/>
    </row>
    <row r="94" spans="2:7" ht="15.75" x14ac:dyDescent="0.25">
      <c r="B94" s="24">
        <v>82</v>
      </c>
      <c r="C94" s="37">
        <v>82</v>
      </c>
      <c r="D94" s="39" t="s">
        <v>13</v>
      </c>
      <c r="E94" s="41" t="s">
        <v>46</v>
      </c>
      <c r="F94" s="23"/>
      <c r="G94" s="25"/>
    </row>
    <row r="95" spans="2:7" ht="16.5" thickBot="1" x14ac:dyDescent="0.3">
      <c r="B95" s="26">
        <v>83</v>
      </c>
      <c r="C95" s="38">
        <v>44</v>
      </c>
      <c r="D95" s="40" t="s">
        <v>12</v>
      </c>
      <c r="E95" s="46" t="s">
        <v>47</v>
      </c>
      <c r="F95" s="27"/>
      <c r="G95" s="28"/>
    </row>
    <row r="96" spans="2:7" x14ac:dyDescent="0.2">
      <c r="B96" s="5"/>
      <c r="C96" s="21"/>
      <c r="D96" s="6"/>
      <c r="E96" s="7"/>
      <c r="F96" s="17" t="s">
        <v>48</v>
      </c>
      <c r="G96" s="18">
        <v>0</v>
      </c>
    </row>
    <row r="97" spans="2:7" x14ac:dyDescent="0.2">
      <c r="B97" s="5"/>
      <c r="C97" s="21"/>
      <c r="D97" s="6"/>
      <c r="E97" s="7"/>
      <c r="F97" s="8" t="s">
        <v>49</v>
      </c>
      <c r="G97" s="9">
        <f>SUM(G13:G95)</f>
        <v>0</v>
      </c>
    </row>
    <row r="98" spans="2:7" x14ac:dyDescent="0.2">
      <c r="B98" s="5"/>
      <c r="C98" s="21"/>
      <c r="D98" s="6"/>
      <c r="E98" s="7"/>
      <c r="F98" s="8" t="s">
        <v>50</v>
      </c>
      <c r="G98" s="9">
        <f>G97*0.19</f>
        <v>0</v>
      </c>
    </row>
    <row r="99" spans="2:7" x14ac:dyDescent="0.2">
      <c r="B99" s="5"/>
      <c r="C99" s="21"/>
      <c r="D99" s="6"/>
      <c r="E99" s="7"/>
      <c r="F99" s="8" t="s">
        <v>51</v>
      </c>
      <c r="G99" s="9">
        <v>0</v>
      </c>
    </row>
    <row r="100" spans="2:7" x14ac:dyDescent="0.2">
      <c r="B100" s="5"/>
      <c r="C100" s="21"/>
      <c r="D100" s="6"/>
      <c r="E100" s="7"/>
      <c r="F100" s="10" t="s">
        <v>11</v>
      </c>
      <c r="G100" s="11">
        <f>SUM(G97:G99)</f>
        <v>0</v>
      </c>
    </row>
    <row r="101" spans="2:7" x14ac:dyDescent="0.25">
      <c r="B101" s="12"/>
      <c r="C101" s="22"/>
      <c r="D101" s="13"/>
      <c r="E101" s="14"/>
      <c r="F101" s="15"/>
      <c r="G101" s="16"/>
    </row>
    <row r="103" spans="2:7" ht="45" customHeight="1" x14ac:dyDescent="0.2">
      <c r="B103" s="30" t="s">
        <v>55</v>
      </c>
      <c r="C103" s="30"/>
      <c r="D103" s="30"/>
      <c r="E103" s="30"/>
      <c r="F103" s="30"/>
      <c r="G103" s="30"/>
    </row>
  </sheetData>
  <mergeCells count="2">
    <mergeCell ref="B7:G7"/>
    <mergeCell ref="B103:G103"/>
  </mergeCells>
  <pageMargins left="0.9055118110236221" right="0.70866141732283472" top="0.74803149606299213" bottom="0.74803149606299213" header="0.51181102362204722" footer="0.51181102362204722"/>
  <pageSetup paperSize="5" scale="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Silva Antileo</dc:creator>
  <dc:description/>
  <cp:lastModifiedBy>Raúl Acuña Salazar</cp:lastModifiedBy>
  <cp:revision>17</cp:revision>
  <cp:lastPrinted>2026-01-05T14:43:51Z</cp:lastPrinted>
  <dcterms:created xsi:type="dcterms:W3CDTF">2024-04-23T17:42:04Z</dcterms:created>
  <dcterms:modified xsi:type="dcterms:W3CDTF">2026-06-26T20:13:12Z</dcterms:modified>
  <dc:language>es-MX</dc:language>
</cp:coreProperties>
</file>