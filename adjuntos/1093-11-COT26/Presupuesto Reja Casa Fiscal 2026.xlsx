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svaldo.mella.e\Desktop\"/>
    </mc:Choice>
  </mc:AlternateContent>
  <xr:revisionPtr revIDLastSave="0" documentId="13_ncr:1_{E252F18C-9FB9-452E-B188-15DC751A592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PTO Cierre CF Aeropuerto" sheetId="12" r:id="rId1"/>
  </sheets>
  <definedNames>
    <definedName name="_xlnm.Print_Area" localSheetId="0">'PPTO Cierre CF Aeropuerto'!$A$1:$G$45</definedName>
    <definedName name="_xlnm.Print_Titles" localSheetId="0">'PPTO Cierre CF Aeropuerto'!$9:$9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12" l="1"/>
  <c r="G42" i="12" s="1"/>
  <c r="G43" i="12" l="1"/>
  <c r="G44" i="12" s="1"/>
  <c r="G45" i="12" l="1"/>
  <c r="G46" i="12" s="1"/>
</calcChain>
</file>

<file path=xl/sharedStrings.xml><?xml version="1.0" encoding="utf-8"?>
<sst xmlns="http://schemas.openxmlformats.org/spreadsheetml/2006/main" count="98" uniqueCount="78">
  <si>
    <t>PRESUPUESTO ESTIMADO DE OBRA</t>
  </si>
  <si>
    <t>Ítem</t>
  </si>
  <si>
    <t>Descripción</t>
  </si>
  <si>
    <t>Unidad</t>
  </si>
  <si>
    <t>Gl</t>
  </si>
  <si>
    <t>TOTAL</t>
  </si>
  <si>
    <t>A.1</t>
  </si>
  <si>
    <t>Cantidad</t>
  </si>
  <si>
    <t>Precio Unitario</t>
  </si>
  <si>
    <t>A.2</t>
  </si>
  <si>
    <t>Edificio MOP DIRECCIÓN DE OBRAS HIDRAULICAS EMBALSE CONCHI</t>
  </si>
  <si>
    <t>Distribución interior de agua potable y alcantarillados de campamento</t>
  </si>
  <si>
    <t>Cubierta de casa 1 y casa de operario</t>
  </si>
  <si>
    <t>Terraza madera de casa 1</t>
  </si>
  <si>
    <t>Puertas exteriores casa 1</t>
  </si>
  <si>
    <t>Cielo pasillo casa 1</t>
  </si>
  <si>
    <t>Edificio MOP DIRECCIÓN DE OBRAS HIDRAULICAS CALAMA (CHORRILLOS 641)</t>
  </si>
  <si>
    <t>Muro perimetral (Peralte, reparación e instalación de concertina galvanizada).</t>
  </si>
  <si>
    <t>Mejoramiento de alumbrado exterior (Implementación de postación y cambio de luminarias a LED de alta eficiencia (se adjuntan fotos del campamento).</t>
  </si>
  <si>
    <t>Distribución interior de agua potable y alcantarillados de campamento.</t>
  </si>
  <si>
    <t>A.12</t>
  </si>
  <si>
    <t>A.13</t>
  </si>
  <si>
    <t>A.13.1</t>
  </si>
  <si>
    <t>A.12.1</t>
  </si>
  <si>
    <t>A.12.2</t>
  </si>
  <si>
    <t>A.12.3</t>
  </si>
  <si>
    <t>A.13.2</t>
  </si>
  <si>
    <t>A.13.3</t>
  </si>
  <si>
    <t>A.13.4</t>
  </si>
  <si>
    <t>A.13.5</t>
  </si>
  <si>
    <t>REGION ANTOFAGASTA</t>
  </si>
  <si>
    <t>B</t>
  </si>
  <si>
    <t>C</t>
  </si>
  <si>
    <t>C.1</t>
  </si>
  <si>
    <t>C.2</t>
  </si>
  <si>
    <t>C.3</t>
  </si>
  <si>
    <t>C.4</t>
  </si>
  <si>
    <t>m2</t>
  </si>
  <si>
    <t>gl</t>
  </si>
  <si>
    <t>ml</t>
  </si>
  <si>
    <t>A</t>
  </si>
  <si>
    <t>COSTO DIRECTO</t>
  </si>
  <si>
    <t xml:space="preserve"> </t>
  </si>
  <si>
    <t>GASTOS GENERALES</t>
  </si>
  <si>
    <t>UTILIDADES</t>
  </si>
  <si>
    <t xml:space="preserve">SUBTOTAL NETO </t>
  </si>
  <si>
    <t>IVA</t>
  </si>
  <si>
    <t>TOTAL OO.CC.</t>
  </si>
  <si>
    <t>OBRAS PRELIMINARES</t>
  </si>
  <si>
    <t>Limpieza y despeje de terreno</t>
  </si>
  <si>
    <t>Trazado y niveles</t>
  </si>
  <si>
    <t>CONSTRUCCION CIERRE PERIMETRAL</t>
  </si>
  <si>
    <t xml:space="preserve">B.2 </t>
  </si>
  <si>
    <t>Reja Metalica</t>
  </si>
  <si>
    <t>B.2.1</t>
  </si>
  <si>
    <t>B.2.4</t>
  </si>
  <si>
    <t>B.2.5</t>
  </si>
  <si>
    <t>B.2.7</t>
  </si>
  <si>
    <t>TERMINACIONES</t>
  </si>
  <si>
    <t>Anticorrosivo</t>
  </si>
  <si>
    <t>Esmalte</t>
  </si>
  <si>
    <t>Protector de madera</t>
  </si>
  <si>
    <t>Aseo y entrega de la obra</t>
  </si>
  <si>
    <t>Pilares</t>
  </si>
  <si>
    <t>Perfiles horizontales</t>
  </si>
  <si>
    <t>Madera</t>
  </si>
  <si>
    <t>Soldadura</t>
  </si>
  <si>
    <t>Anclajes</t>
  </si>
  <si>
    <t>Puntas de seguridad</t>
  </si>
  <si>
    <t>Antofagasta, 4 de junio de 2026</t>
  </si>
  <si>
    <t>OBRA: CONSTRUCCIÓN TRAMO REJA CASA FISCAL PISTELLI 765</t>
  </si>
  <si>
    <t>A.3</t>
  </si>
  <si>
    <t>Retiro y Reubicación Cierre existente</t>
  </si>
  <si>
    <t>B.2.2</t>
  </si>
  <si>
    <t>B.2.3</t>
  </si>
  <si>
    <t>B.2.6</t>
  </si>
  <si>
    <t>Marco</t>
  </si>
  <si>
    <t>Rigidizadores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</si>
</sst>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 &quot;$&quot;* #,##0_ ;_ &quot;$&quot;* \-#,##0_ ;_ &quot;$&quot;* &quot;-&quot;_ ;_ @_ "/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  <numFmt numFmtId="166" formatCode="#,##0.0"/>
    <numFmt numFmtId="167" formatCode="_(&quot;$&quot;* #,##0.00_);_(&quot;$&quot;* \(#,##0.00\);_(&quot;$&quot;* &quot;-&quot;??_);_(@_)"/>
    <numFmt numFmtId="168" formatCode="\$\ #,##0"/>
    <numFmt numFmtId="169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sz val="12"/>
      <color theme="1"/>
      <name val="Verdana"/>
      <family val="2"/>
    </font>
    <font>
      <b/>
      <sz val="12"/>
      <color theme="1"/>
      <name val="Verdana"/>
      <family val="2"/>
    </font>
    <font>
      <sz val="12"/>
      <name val="Verdana"/>
      <family val="2"/>
    </font>
    <font>
      <b/>
      <sz val="12"/>
      <name val="Verdana"/>
      <family val="2"/>
    </font>
    <font>
      <sz val="12"/>
      <color rgb="FF000000"/>
      <name val="Verdana"/>
      <family val="2"/>
    </font>
    <font>
      <b/>
      <sz val="10"/>
      <name val="Verdana"/>
      <family val="2"/>
    </font>
    <font>
      <b/>
      <sz val="10"/>
      <color rgb="FF000000"/>
      <name val="Verdana"/>
      <family val="2"/>
    </font>
    <font>
      <b/>
      <sz val="14"/>
      <color theme="1"/>
      <name val="Verdana"/>
      <family val="2"/>
    </font>
    <font>
      <b/>
      <sz val="14"/>
      <color rgb="FF000000"/>
      <name val="Verdana"/>
      <family val="2"/>
    </font>
    <font>
      <b/>
      <sz val="14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/>
    <xf numFmtId="0" fontId="5" fillId="0" borderId="0"/>
    <xf numFmtId="42" fontId="1" fillId="0" borderId="0" applyFont="0" applyFill="0" applyBorder="0" applyAlignment="0" applyProtection="0"/>
    <xf numFmtId="169" fontId="1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right" vertical="center"/>
    </xf>
    <xf numFmtId="2" fontId="4" fillId="0" borderId="1" xfId="0" applyNumberFormat="1" applyFont="1" applyBorder="1" applyAlignment="1">
      <alignment horizontal="right"/>
    </xf>
    <xf numFmtId="0" fontId="0" fillId="0" borderId="1" xfId="0" applyBorder="1"/>
    <xf numFmtId="0" fontId="4" fillId="0" borderId="1" xfId="0" applyFont="1" applyBorder="1" applyAlignment="1">
      <alignment horizontal="center"/>
    </xf>
    <xf numFmtId="168" fontId="6" fillId="0" borderId="1" xfId="4" applyNumberFormat="1" applyFont="1" applyBorder="1" applyAlignment="1">
      <alignment horizontal="right" vertical="top" shrinkToFit="1"/>
    </xf>
    <xf numFmtId="0" fontId="4" fillId="2" borderId="1" xfId="0" applyFont="1" applyFill="1" applyBorder="1" applyAlignment="1">
      <alignment horizontal="center"/>
    </xf>
    <xf numFmtId="168" fontId="6" fillId="2" borderId="1" xfId="4" applyNumberFormat="1" applyFont="1" applyFill="1" applyBorder="1" applyAlignment="1">
      <alignment horizontal="right" vertical="top" shrinkToFit="1"/>
    </xf>
    <xf numFmtId="2" fontId="4" fillId="2" borderId="1" xfId="0" applyNumberFormat="1" applyFont="1" applyFill="1" applyBorder="1" applyAlignment="1">
      <alignment horizontal="right"/>
    </xf>
    <xf numFmtId="0" fontId="0" fillId="2" borderId="1" xfId="0" applyFill="1" applyBorder="1" applyAlignment="1">
      <alignment vertical="top"/>
    </xf>
    <xf numFmtId="0" fontId="7" fillId="0" borderId="0" xfId="0" applyFont="1" applyAlignment="1">
      <alignment vertical="center"/>
    </xf>
    <xf numFmtId="0" fontId="7" fillId="0" borderId="0" xfId="0" applyFont="1"/>
    <xf numFmtId="166" fontId="7" fillId="0" borderId="0" xfId="0" applyNumberFormat="1" applyFont="1" applyAlignment="1">
      <alignment vertical="center"/>
    </xf>
    <xf numFmtId="0" fontId="7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5" xfId="0" applyBorder="1"/>
    <xf numFmtId="0" fontId="4" fillId="0" borderId="5" xfId="0" applyFont="1" applyBorder="1" applyAlignment="1">
      <alignment horizontal="center"/>
    </xf>
    <xf numFmtId="2" fontId="4" fillId="0" borderId="5" xfId="0" applyNumberFormat="1" applyFont="1" applyBorder="1" applyAlignment="1">
      <alignment horizontal="right"/>
    </xf>
    <xf numFmtId="168" fontId="6" fillId="0" borderId="5" xfId="4" applyNumberFormat="1" applyFont="1" applyBorder="1" applyAlignment="1">
      <alignment horizontal="right" vertical="top" shrinkToFit="1"/>
    </xf>
    <xf numFmtId="0" fontId="10" fillId="2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0" xfId="0" applyFont="1"/>
    <xf numFmtId="0" fontId="12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0" fontId="9" fillId="0" borderId="5" xfId="0" applyFont="1" applyBorder="1" applyAlignment="1">
      <alignment horizontal="left"/>
    </xf>
    <xf numFmtId="0" fontId="10" fillId="2" borderId="9" xfId="0" applyFont="1" applyFill="1" applyBorder="1" applyAlignment="1">
      <alignment horizontal="left"/>
    </xf>
    <xf numFmtId="0" fontId="0" fillId="2" borderId="9" xfId="0" applyFill="1" applyBorder="1" applyAlignment="1">
      <alignment vertical="top"/>
    </xf>
    <xf numFmtId="0" fontId="4" fillId="2" borderId="9" xfId="0" applyFont="1" applyFill="1" applyBorder="1" applyAlignment="1">
      <alignment horizontal="center"/>
    </xf>
    <xf numFmtId="2" fontId="4" fillId="2" borderId="9" xfId="0" applyNumberFormat="1" applyFont="1" applyFill="1" applyBorder="1" applyAlignment="1">
      <alignment horizontal="right"/>
    </xf>
    <xf numFmtId="168" fontId="6" fillId="2" borderId="9" xfId="4" applyNumberFormat="1" applyFont="1" applyFill="1" applyBorder="1" applyAlignment="1">
      <alignment horizontal="right" vertical="top" shrinkToFit="1"/>
    </xf>
    <xf numFmtId="0" fontId="8" fillId="0" borderId="13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7" fillId="0" borderId="14" xfId="0" applyFont="1" applyBorder="1" applyAlignment="1">
      <alignment horizontal="center" vertical="center" wrapText="1"/>
    </xf>
    <xf numFmtId="166" fontId="9" fillId="0" borderId="14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165" fontId="10" fillId="0" borderId="15" xfId="1" applyNumberFormat="1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3" borderId="19" xfId="0" applyFont="1" applyFill="1" applyBorder="1" applyAlignment="1">
      <alignment horizontal="left" vertical="center"/>
    </xf>
    <xf numFmtId="0" fontId="10" fillId="3" borderId="9" xfId="0" applyFont="1" applyFill="1" applyBorder="1" applyAlignment="1">
      <alignment vertical="center"/>
    </xf>
    <xf numFmtId="168" fontId="11" fillId="3" borderId="9" xfId="4" applyNumberFormat="1" applyFont="1" applyFill="1" applyBorder="1" applyAlignment="1">
      <alignment horizontal="right" vertical="center" shrinkToFit="1"/>
    </xf>
    <xf numFmtId="0" fontId="9" fillId="0" borderId="0" xfId="0" applyFont="1" applyAlignment="1">
      <alignment horizontal="right"/>
    </xf>
    <xf numFmtId="0" fontId="9" fillId="0" borderId="20" xfId="0" applyFont="1" applyBorder="1" applyAlignment="1">
      <alignment horizontal="left" vertical="center"/>
    </xf>
    <xf numFmtId="0" fontId="9" fillId="0" borderId="21" xfId="0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10" fillId="3" borderId="12" xfId="0" applyFont="1" applyFill="1" applyBorder="1" applyAlignment="1">
      <alignment horizontal="right"/>
    </xf>
    <xf numFmtId="9" fontId="9" fillId="0" borderId="0" xfId="0" applyNumberFormat="1" applyFont="1" applyAlignment="1">
      <alignment horizontal="right"/>
    </xf>
    <xf numFmtId="0" fontId="9" fillId="4" borderId="0" xfId="0" applyFont="1" applyFill="1" applyAlignment="1">
      <alignment horizontal="right"/>
    </xf>
    <xf numFmtId="168" fontId="11" fillId="3" borderId="18" xfId="4" applyNumberFormat="1" applyFont="1" applyFill="1" applyBorder="1" applyAlignment="1">
      <alignment horizontal="justify" vertical="center" shrinkToFit="1"/>
    </xf>
    <xf numFmtId="42" fontId="11" fillId="0" borderId="1" xfId="5" applyFont="1" applyFill="1" applyBorder="1" applyAlignment="1">
      <alignment vertical="center" shrinkToFit="1"/>
    </xf>
    <xf numFmtId="168" fontId="11" fillId="0" borderId="8" xfId="4" applyNumberFormat="1" applyFont="1" applyBorder="1" applyAlignment="1">
      <alignment vertical="center"/>
    </xf>
    <xf numFmtId="42" fontId="11" fillId="0" borderId="17" xfId="5" applyFont="1" applyFill="1" applyBorder="1" applyAlignment="1">
      <alignment vertical="center" shrinkToFit="1"/>
    </xf>
    <xf numFmtId="42" fontId="11" fillId="0" borderId="21" xfId="5" applyFont="1" applyFill="1" applyBorder="1" applyAlignment="1">
      <alignment vertical="center" shrinkToFit="1"/>
    </xf>
    <xf numFmtId="0" fontId="9" fillId="4" borderId="3" xfId="0" applyFont="1" applyFill="1" applyBorder="1" applyAlignment="1">
      <alignment horizontal="right"/>
    </xf>
    <xf numFmtId="42" fontId="9" fillId="4" borderId="6" xfId="5" applyFont="1" applyFill="1" applyBorder="1" applyAlignment="1">
      <alignment horizontal="justify" wrapText="1"/>
    </xf>
    <xf numFmtId="42" fontId="9" fillId="0" borderId="4" xfId="5" applyFont="1" applyBorder="1" applyAlignment="1">
      <alignment horizontal="justify" wrapText="1"/>
    </xf>
    <xf numFmtId="42" fontId="9" fillId="4" borderId="4" xfId="5" applyFont="1" applyFill="1" applyBorder="1" applyAlignment="1">
      <alignment horizontal="justify" wrapText="1"/>
    </xf>
    <xf numFmtId="0" fontId="9" fillId="0" borderId="19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42" fontId="11" fillId="0" borderId="9" xfId="5" applyFont="1" applyFill="1" applyBorder="1" applyAlignment="1">
      <alignment vertical="center" shrinkToFit="1"/>
    </xf>
    <xf numFmtId="42" fontId="9" fillId="3" borderId="10" xfId="5" applyFont="1" applyFill="1" applyBorder="1" applyAlignment="1">
      <alignment horizontal="justify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0" fillId="3" borderId="11" xfId="0" applyFont="1" applyFill="1" applyBorder="1" applyAlignment="1">
      <alignment horizontal="right"/>
    </xf>
    <xf numFmtId="0" fontId="10" fillId="3" borderId="12" xfId="0" applyFont="1" applyFill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0" fillId="0" borderId="0" xfId="0" applyAlignment="1">
      <alignment horizontal="right"/>
    </xf>
    <xf numFmtId="0" fontId="9" fillId="4" borderId="2" xfId="0" applyFont="1" applyFill="1" applyBorder="1" applyAlignment="1">
      <alignment horizontal="right"/>
    </xf>
    <xf numFmtId="0" fontId="0" fillId="4" borderId="3" xfId="0" applyFill="1" applyBorder="1" applyAlignment="1">
      <alignment horizontal="right"/>
    </xf>
    <xf numFmtId="0" fontId="9" fillId="4" borderId="7" xfId="0" applyFont="1" applyFill="1" applyBorder="1" applyAlignment="1">
      <alignment horizontal="right"/>
    </xf>
    <xf numFmtId="0" fontId="0" fillId="4" borderId="0" xfId="0" applyFill="1" applyAlignment="1">
      <alignment horizontal="right"/>
    </xf>
  </cellXfs>
  <cellStyles count="7">
    <cellStyle name="Millares 2" xfId="6" xr:uid="{00000000-0005-0000-0000-000000000000}"/>
    <cellStyle name="Moneda" xfId="1" builtinId="4"/>
    <cellStyle name="Moneda [0]" xfId="5" builtinId="7"/>
    <cellStyle name="Moneda 2" xfId="2" xr:uid="{00000000-0005-0000-0000-000003000000}"/>
    <cellStyle name="Normal" xfId="0" builtinId="0"/>
    <cellStyle name="Normal 2" xfId="3" xr:uid="{00000000-0005-0000-0000-000005000000}"/>
    <cellStyle name="Normal 2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299357</xdr:colOff>
      <xdr:row>0</xdr:row>
      <xdr:rowOff>99786</xdr:rowOff>
    </xdr:from>
    <xdr:to>
      <xdr:col>2</xdr:col>
      <xdr:colOff>1711778</xdr:colOff>
      <xdr:row>7</xdr:row>
      <xdr:rowOff>23133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003D271-B0A7-2D9B-AFFF-4BB0D72AC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99786"/>
          <a:ext cx="2240643" cy="13657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55"/>
  <sheetViews>
    <sheetView tabSelected="1" zoomScale="70" zoomScaleNormal="70" zoomScaleSheetLayoutView="115" workbookViewId="0">
      <selection activeCell="E60" sqref="E60"/>
    </sheetView>
  </sheetViews>
  <sheetFormatPr baseColWidth="10" defaultColWidth="11.42578125" defaultRowHeight="15" x14ac:dyDescent="0.25"/>
  <cols>
    <col min="1" max="1" width="2" style="1" customWidth="1"/>
    <col min="2" max="2" width="12.42578125" style="15" customWidth="1"/>
    <col min="3" max="3" width="114.85546875" style="4" customWidth="1"/>
    <col min="4" max="4" width="9.42578125" style="1" bestFit="1" customWidth="1"/>
    <col min="5" max="5" width="25.42578125" style="2" customWidth="1"/>
    <col min="6" max="6" width="17.85546875" style="5" customWidth="1"/>
    <col min="7" max="7" width="19.140625" style="1" bestFit="1" customWidth="1"/>
    <col min="8" max="16384" width="11.42578125" style="1"/>
  </cols>
  <sheetData>
    <row r="1" spans="2:8" x14ac:dyDescent="0.25">
      <c r="C1" s="15"/>
      <c r="D1" s="15"/>
      <c r="E1" s="17"/>
      <c r="F1" s="18"/>
      <c r="G1" s="15"/>
    </row>
    <row r="2" spans="2:8" x14ac:dyDescent="0.25">
      <c r="C2" s="15"/>
      <c r="D2" s="15"/>
      <c r="E2" s="17"/>
      <c r="F2" s="18"/>
      <c r="G2" s="15"/>
    </row>
    <row r="3" spans="2:8" x14ac:dyDescent="0.2">
      <c r="C3" s="16"/>
      <c r="D3" s="15"/>
      <c r="E3" s="17"/>
      <c r="F3" s="18"/>
      <c r="G3" s="15"/>
    </row>
    <row r="4" spans="2:8" ht="18" x14ac:dyDescent="0.25">
      <c r="B4" s="72" t="s">
        <v>0</v>
      </c>
      <c r="C4" s="72"/>
      <c r="D4" s="72"/>
      <c r="E4" s="72"/>
      <c r="F4" s="72"/>
      <c r="G4" s="72"/>
    </row>
    <row r="5" spans="2:8" ht="18" x14ac:dyDescent="0.25">
      <c r="B5" s="73" t="s">
        <v>70</v>
      </c>
      <c r="C5" s="73"/>
      <c r="D5" s="73"/>
      <c r="E5" s="73"/>
      <c r="F5" s="73"/>
      <c r="G5" s="73"/>
      <c r="H5" s="27"/>
    </row>
    <row r="6" spans="2:8" ht="18" x14ac:dyDescent="0.25">
      <c r="B6" s="74" t="s">
        <v>30</v>
      </c>
      <c r="C6" s="74"/>
      <c r="D6" s="74"/>
      <c r="E6" s="74"/>
      <c r="F6" s="74"/>
      <c r="G6" s="74"/>
      <c r="H6" s="28"/>
    </row>
    <row r="7" spans="2:8" x14ac:dyDescent="0.25">
      <c r="B7" s="29"/>
      <c r="C7" s="29"/>
      <c r="D7" s="29"/>
      <c r="E7" s="29"/>
      <c r="F7" s="29"/>
      <c r="G7" s="29"/>
      <c r="H7" s="28"/>
    </row>
    <row r="8" spans="2:8" ht="15.75" thickBot="1" x14ac:dyDescent="0.3">
      <c r="C8" s="15"/>
      <c r="D8" s="15"/>
      <c r="E8" s="19"/>
      <c r="F8" s="20"/>
      <c r="G8" s="20"/>
    </row>
    <row r="9" spans="2:8" s="3" customFormat="1" x14ac:dyDescent="0.25">
      <c r="B9" s="37" t="s">
        <v>1</v>
      </c>
      <c r="C9" s="38" t="s">
        <v>2</v>
      </c>
      <c r="D9" s="39" t="s">
        <v>3</v>
      </c>
      <c r="E9" s="40" t="s">
        <v>7</v>
      </c>
      <c r="F9" s="41" t="s">
        <v>8</v>
      </c>
      <c r="G9" s="42" t="s">
        <v>5</v>
      </c>
    </row>
    <row r="10" spans="2:8" ht="19.5" customHeight="1" x14ac:dyDescent="0.25">
      <c r="B10" s="46" t="s">
        <v>40</v>
      </c>
      <c r="C10" s="47" t="s">
        <v>48</v>
      </c>
      <c r="D10" s="47"/>
      <c r="E10" s="47"/>
      <c r="F10" s="48"/>
      <c r="G10" s="56"/>
    </row>
    <row r="11" spans="2:8" ht="19.5" customHeight="1" x14ac:dyDescent="0.25">
      <c r="B11" s="43" t="s">
        <v>6</v>
      </c>
      <c r="C11" s="45" t="s">
        <v>49</v>
      </c>
      <c r="D11" s="44" t="s">
        <v>37</v>
      </c>
      <c r="E11" s="44">
        <v>9</v>
      </c>
      <c r="F11" s="58"/>
      <c r="G11" s="59"/>
    </row>
    <row r="12" spans="2:8" ht="19.5" customHeight="1" x14ac:dyDescent="0.25">
      <c r="B12" s="43" t="s">
        <v>9</v>
      </c>
      <c r="C12" s="45" t="s">
        <v>50</v>
      </c>
      <c r="D12" s="44" t="s">
        <v>39</v>
      </c>
      <c r="E12" s="44">
        <v>8</v>
      </c>
      <c r="F12" s="58"/>
      <c r="G12" s="59"/>
    </row>
    <row r="13" spans="2:8" ht="19.5" customHeight="1" x14ac:dyDescent="0.25">
      <c r="B13" s="43" t="s">
        <v>71</v>
      </c>
      <c r="C13" s="45" t="s">
        <v>72</v>
      </c>
      <c r="D13" s="44" t="s">
        <v>38</v>
      </c>
      <c r="E13" s="44">
        <v>1</v>
      </c>
      <c r="F13" s="58"/>
      <c r="G13" s="59"/>
    </row>
    <row r="14" spans="2:8" ht="19.5" customHeight="1" x14ac:dyDescent="0.25">
      <c r="B14" s="46" t="s">
        <v>31</v>
      </c>
      <c r="C14" s="47" t="s">
        <v>51</v>
      </c>
      <c r="D14" s="47"/>
      <c r="E14" s="47"/>
      <c r="F14" s="48"/>
      <c r="G14" s="48"/>
    </row>
    <row r="15" spans="2:8" ht="19.5" customHeight="1" x14ac:dyDescent="0.25">
      <c r="B15" s="46" t="s">
        <v>52</v>
      </c>
      <c r="C15" s="47" t="s">
        <v>53</v>
      </c>
      <c r="D15" s="47"/>
      <c r="E15" s="47"/>
      <c r="F15" s="48"/>
      <c r="G15" s="48"/>
    </row>
    <row r="16" spans="2:8" ht="19.5" customHeight="1" x14ac:dyDescent="0.25">
      <c r="B16" s="65" t="s">
        <v>54</v>
      </c>
      <c r="C16" s="66" t="s">
        <v>63</v>
      </c>
      <c r="D16" s="67" t="s">
        <v>39</v>
      </c>
      <c r="E16" s="67">
        <v>6</v>
      </c>
      <c r="F16" s="68"/>
      <c r="G16" s="59"/>
    </row>
    <row r="17" spans="2:7" ht="19.5" customHeight="1" x14ac:dyDescent="0.25">
      <c r="B17" s="65" t="s">
        <v>73</v>
      </c>
      <c r="C17" s="66" t="s">
        <v>76</v>
      </c>
      <c r="D17" s="67" t="s">
        <v>39</v>
      </c>
      <c r="E17" s="67">
        <v>15</v>
      </c>
      <c r="F17" s="68"/>
      <c r="G17" s="59"/>
    </row>
    <row r="18" spans="2:7" ht="19.5" customHeight="1" x14ac:dyDescent="0.25">
      <c r="B18" s="65" t="s">
        <v>74</v>
      </c>
      <c r="C18" s="66" t="s">
        <v>77</v>
      </c>
      <c r="D18" s="67" t="s">
        <v>39</v>
      </c>
      <c r="E18" s="67">
        <v>12</v>
      </c>
      <c r="F18" s="68"/>
      <c r="G18" s="59"/>
    </row>
    <row r="19" spans="2:7" ht="19.5" customHeight="1" x14ac:dyDescent="0.25">
      <c r="B19" s="65" t="s">
        <v>55</v>
      </c>
      <c r="C19" s="66" t="s">
        <v>64</v>
      </c>
      <c r="D19" s="67" t="s">
        <v>39</v>
      </c>
      <c r="E19" s="67">
        <v>18</v>
      </c>
      <c r="F19" s="68"/>
      <c r="G19" s="59"/>
    </row>
    <row r="20" spans="2:7" ht="19.5" customHeight="1" x14ac:dyDescent="0.25">
      <c r="B20" s="65" t="s">
        <v>56</v>
      </c>
      <c r="C20" s="66" t="s">
        <v>65</v>
      </c>
      <c r="D20" s="67" t="s">
        <v>39</v>
      </c>
      <c r="E20" s="67">
        <v>78</v>
      </c>
      <c r="F20" s="68"/>
      <c r="G20" s="59"/>
    </row>
    <row r="21" spans="2:7" ht="19.5" customHeight="1" x14ac:dyDescent="0.25">
      <c r="B21" s="65" t="s">
        <v>75</v>
      </c>
      <c r="C21" s="66" t="s">
        <v>66</v>
      </c>
      <c r="D21" s="67" t="s">
        <v>38</v>
      </c>
      <c r="E21" s="67">
        <v>1</v>
      </c>
      <c r="F21" s="68"/>
      <c r="G21" s="59"/>
    </row>
    <row r="22" spans="2:7" ht="19.5" customHeight="1" x14ac:dyDescent="0.25">
      <c r="B22" s="65" t="s">
        <v>57</v>
      </c>
      <c r="C22" s="66" t="s">
        <v>67</v>
      </c>
      <c r="D22" s="67" t="s">
        <v>38</v>
      </c>
      <c r="E22" s="67">
        <v>1</v>
      </c>
      <c r="F22" s="68"/>
      <c r="G22" s="59"/>
    </row>
    <row r="23" spans="2:7" ht="19.5" customHeight="1" x14ac:dyDescent="0.25">
      <c r="B23" s="65" t="s">
        <v>75</v>
      </c>
      <c r="C23" s="66" t="s">
        <v>68</v>
      </c>
      <c r="D23" s="67" t="s">
        <v>39</v>
      </c>
      <c r="E23" s="67">
        <v>5</v>
      </c>
      <c r="F23" s="68"/>
      <c r="G23" s="59"/>
    </row>
    <row r="24" spans="2:7" ht="19.5" customHeight="1" x14ac:dyDescent="0.25">
      <c r="B24" s="46" t="s">
        <v>32</v>
      </c>
      <c r="C24" s="47" t="s">
        <v>58</v>
      </c>
      <c r="D24" s="47"/>
      <c r="E24" s="47"/>
      <c r="F24" s="48"/>
      <c r="G24" s="48"/>
    </row>
    <row r="25" spans="2:7" ht="19.5" customHeight="1" x14ac:dyDescent="0.25">
      <c r="B25" s="43" t="s">
        <v>33</v>
      </c>
      <c r="C25" s="45" t="s">
        <v>59</v>
      </c>
      <c r="D25" s="44" t="s">
        <v>38</v>
      </c>
      <c r="E25" s="44">
        <v>1</v>
      </c>
      <c r="F25" s="57"/>
      <c r="G25" s="59"/>
    </row>
    <row r="26" spans="2:7" ht="19.5" customHeight="1" x14ac:dyDescent="0.25">
      <c r="B26" s="43" t="s">
        <v>34</v>
      </c>
      <c r="C26" s="45" t="s">
        <v>60</v>
      </c>
      <c r="D26" s="44" t="s">
        <v>38</v>
      </c>
      <c r="E26" s="44">
        <v>1</v>
      </c>
      <c r="F26" s="57"/>
      <c r="G26" s="59"/>
    </row>
    <row r="27" spans="2:7" ht="19.5" customHeight="1" x14ac:dyDescent="0.25">
      <c r="B27" s="43" t="s">
        <v>35</v>
      </c>
      <c r="C27" s="45" t="s">
        <v>61</v>
      </c>
      <c r="D27" s="44" t="s">
        <v>38</v>
      </c>
      <c r="E27" s="44">
        <v>1</v>
      </c>
      <c r="F27" s="57"/>
      <c r="G27" s="59"/>
    </row>
    <row r="28" spans="2:7" ht="19.5" customHeight="1" thickBot="1" x14ac:dyDescent="0.3">
      <c r="B28" s="50" t="s">
        <v>36</v>
      </c>
      <c r="C28" s="51" t="s">
        <v>62</v>
      </c>
      <c r="D28" s="52" t="s">
        <v>38</v>
      </c>
      <c r="E28" s="52">
        <v>1</v>
      </c>
      <c r="F28" s="60"/>
      <c r="G28" s="59"/>
    </row>
    <row r="29" spans="2:7" ht="15.75" hidden="1" thickBot="1" x14ac:dyDescent="0.25">
      <c r="B29" s="32" t="s">
        <v>20</v>
      </c>
      <c r="C29" s="33" t="s">
        <v>16</v>
      </c>
      <c r="D29" s="34"/>
      <c r="E29" s="35"/>
      <c r="F29" s="36"/>
      <c r="G29" s="36"/>
    </row>
    <row r="30" spans="2:7" ht="16.5" hidden="1" thickBot="1" x14ac:dyDescent="0.3">
      <c r="B30" s="26" t="s">
        <v>23</v>
      </c>
      <c r="C30" s="8" t="s">
        <v>17</v>
      </c>
      <c r="D30" s="9" t="s">
        <v>4</v>
      </c>
      <c r="E30" s="7"/>
      <c r="F30" s="10"/>
      <c r="G30" s="10"/>
    </row>
    <row r="31" spans="2:7" ht="16.5" hidden="1" thickBot="1" x14ac:dyDescent="0.3">
      <c r="B31" s="26" t="s">
        <v>24</v>
      </c>
      <c r="C31" s="8" t="s">
        <v>18</v>
      </c>
      <c r="D31" s="9" t="s">
        <v>4</v>
      </c>
      <c r="E31" s="7"/>
      <c r="F31" s="10"/>
      <c r="G31" s="10"/>
    </row>
    <row r="32" spans="2:7" ht="16.5" hidden="1" thickBot="1" x14ac:dyDescent="0.3">
      <c r="B32" s="26" t="s">
        <v>25</v>
      </c>
      <c r="C32" s="8" t="s">
        <v>19</v>
      </c>
      <c r="D32" s="9" t="s">
        <v>4</v>
      </c>
      <c r="E32" s="7"/>
      <c r="F32" s="10"/>
      <c r="G32" s="10"/>
    </row>
    <row r="33" spans="2:7" ht="16.5" hidden="1" thickBot="1" x14ac:dyDescent="0.3">
      <c r="B33" s="26"/>
      <c r="C33" s="8"/>
      <c r="D33" s="9"/>
      <c r="E33" s="7"/>
      <c r="F33" s="10"/>
      <c r="G33" s="10"/>
    </row>
    <row r="34" spans="2:7" ht="15.75" hidden="1" thickBot="1" x14ac:dyDescent="0.25">
      <c r="B34" s="25" t="s">
        <v>21</v>
      </c>
      <c r="C34" s="14" t="s">
        <v>10</v>
      </c>
      <c r="D34" s="11"/>
      <c r="E34" s="13"/>
      <c r="F34" s="12"/>
      <c r="G34" s="12"/>
    </row>
    <row r="35" spans="2:7" ht="16.5" hidden="1" thickBot="1" x14ac:dyDescent="0.3">
      <c r="B35" s="26" t="s">
        <v>22</v>
      </c>
      <c r="C35" s="8" t="s">
        <v>12</v>
      </c>
      <c r="D35" s="9" t="s">
        <v>4</v>
      </c>
      <c r="E35" s="7"/>
      <c r="F35" s="10"/>
      <c r="G35" s="10"/>
    </row>
    <row r="36" spans="2:7" ht="16.5" hidden="1" thickBot="1" x14ac:dyDescent="0.3">
      <c r="B36" s="26" t="s">
        <v>26</v>
      </c>
      <c r="C36" s="8" t="s">
        <v>13</v>
      </c>
      <c r="D36" s="9" t="s">
        <v>4</v>
      </c>
      <c r="E36" s="7"/>
      <c r="F36" s="10"/>
      <c r="G36" s="10"/>
    </row>
    <row r="37" spans="2:7" ht="16.5" hidden="1" thickBot="1" x14ac:dyDescent="0.3">
      <c r="B37" s="26" t="s">
        <v>27</v>
      </c>
      <c r="C37" s="8" t="s">
        <v>14</v>
      </c>
      <c r="D37" s="9" t="s">
        <v>4</v>
      </c>
      <c r="E37" s="7"/>
      <c r="F37" s="10"/>
      <c r="G37" s="10"/>
    </row>
    <row r="38" spans="2:7" ht="16.5" hidden="1" thickBot="1" x14ac:dyDescent="0.3">
      <c r="B38" s="26" t="s">
        <v>28</v>
      </c>
      <c r="C38" s="8" t="s">
        <v>15</v>
      </c>
      <c r="D38" s="9" t="s">
        <v>4</v>
      </c>
      <c r="E38" s="7"/>
      <c r="F38" s="10"/>
      <c r="G38" s="10"/>
    </row>
    <row r="39" spans="2:7" ht="16.5" hidden="1" thickBot="1" x14ac:dyDescent="0.3">
      <c r="B39" s="26" t="s">
        <v>29</v>
      </c>
      <c r="C39" s="8" t="s">
        <v>11</v>
      </c>
      <c r="D39" s="9"/>
      <c r="E39" s="7"/>
      <c r="F39" s="10"/>
      <c r="G39" s="10"/>
    </row>
    <row r="40" spans="2:7" ht="16.5" hidden="1" thickBot="1" x14ac:dyDescent="0.3">
      <c r="B40" s="31"/>
      <c r="C40" s="21"/>
      <c r="D40" s="22"/>
      <c r="E40" s="23"/>
      <c r="F40" s="24"/>
      <c r="G40" s="24"/>
    </row>
    <row r="41" spans="2:7" ht="15.75" x14ac:dyDescent="0.25">
      <c r="B41" s="30"/>
      <c r="C41" s="30"/>
      <c r="D41" s="79" t="s">
        <v>41</v>
      </c>
      <c r="E41" s="80" t="s">
        <v>41</v>
      </c>
      <c r="F41" s="61"/>
      <c r="G41" s="62">
        <f>SUM(G10:G28)</f>
        <v>0</v>
      </c>
    </row>
    <row r="42" spans="2:7" ht="15.75" x14ac:dyDescent="0.25">
      <c r="C42" s="49"/>
      <c r="D42" s="77" t="s">
        <v>43</v>
      </c>
      <c r="E42" s="78"/>
      <c r="F42" s="54"/>
      <c r="G42" s="63">
        <f>G41*F42</f>
        <v>0</v>
      </c>
    </row>
    <row r="43" spans="2:7" ht="15.75" x14ac:dyDescent="0.25">
      <c r="C43" s="49"/>
      <c r="D43" s="77" t="s">
        <v>44</v>
      </c>
      <c r="E43" s="78"/>
      <c r="F43" s="54"/>
      <c r="G43" s="63">
        <f>G41*F43</f>
        <v>0</v>
      </c>
    </row>
    <row r="44" spans="2:7" ht="15.75" x14ac:dyDescent="0.25">
      <c r="C44" s="49"/>
      <c r="D44" s="81" t="s">
        <v>45</v>
      </c>
      <c r="E44" s="82"/>
      <c r="F44" s="55"/>
      <c r="G44" s="64">
        <f>G41+G42+G43</f>
        <v>0</v>
      </c>
    </row>
    <row r="45" spans="2:7" ht="16.5" thickBot="1" x14ac:dyDescent="0.3">
      <c r="C45" s="49"/>
      <c r="D45" s="77" t="s">
        <v>46</v>
      </c>
      <c r="E45" s="78"/>
      <c r="F45" s="54">
        <v>0.19</v>
      </c>
      <c r="G45" s="63">
        <f>G44*F45</f>
        <v>0</v>
      </c>
    </row>
    <row r="46" spans="2:7" ht="15.75" thickBot="1" x14ac:dyDescent="0.25">
      <c r="C46" s="49"/>
      <c r="D46" s="75" t="s">
        <v>47</v>
      </c>
      <c r="E46" s="76"/>
      <c r="F46" s="53"/>
      <c r="G46" s="69">
        <f>G44+G45</f>
        <v>0</v>
      </c>
    </row>
    <row r="48" spans="2:7" ht="16.5" customHeight="1" x14ac:dyDescent="0.25"/>
    <row r="49" spans="2:7" ht="49.5" customHeight="1" x14ac:dyDescent="0.25">
      <c r="D49" s="1" t="s">
        <v>42</v>
      </c>
    </row>
    <row r="50" spans="2:7" x14ac:dyDescent="0.25">
      <c r="F50" s="6"/>
    </row>
    <row r="51" spans="2:7" ht="15" customHeight="1" x14ac:dyDescent="0.25">
      <c r="D51" s="70"/>
      <c r="E51" s="70"/>
      <c r="F51" s="70"/>
      <c r="G51" s="70"/>
    </row>
    <row r="52" spans="2:7" x14ac:dyDescent="0.25">
      <c r="D52" s="71"/>
      <c r="E52" s="71"/>
      <c r="F52" s="71"/>
      <c r="G52" s="71"/>
    </row>
    <row r="53" spans="2:7" x14ac:dyDescent="0.25">
      <c r="D53" s="71"/>
      <c r="E53" s="71"/>
      <c r="F53" s="71"/>
      <c r="G53" s="71"/>
    </row>
    <row r="54" spans="2:7" x14ac:dyDescent="0.25">
      <c r="D54" s="71"/>
      <c r="E54" s="71"/>
      <c r="F54" s="71"/>
      <c r="G54" s="71"/>
    </row>
    <row r="55" spans="2:7" x14ac:dyDescent="0.25">
      <c r="B55" s="15" t="s">
        <v>69</v>
      </c>
    </row>
  </sheetData>
  <mergeCells count="13">
    <mergeCell ref="D51:G51"/>
    <mergeCell ref="D52:G52"/>
    <mergeCell ref="D53:G53"/>
    <mergeCell ref="D54:G54"/>
    <mergeCell ref="B4:G4"/>
    <mergeCell ref="B5:G5"/>
    <mergeCell ref="B6:G6"/>
    <mergeCell ref="D46:E46"/>
    <mergeCell ref="D42:E42"/>
    <mergeCell ref="D41:E41"/>
    <mergeCell ref="D43:E43"/>
    <mergeCell ref="D44:E44"/>
    <mergeCell ref="D45:E45"/>
  </mergeCells>
  <pageMargins left="0.45" right="0.45" top="0.43" bottom="0.5" header="0.3" footer="0.3"/>
  <pageSetup scale="5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PPTO Cierre CF Aeropuerto</vt:lpstr>
      <vt:lpstr>'PPTO Cierre CF Aeropuerto'!Área_de_impresión</vt:lpstr>
      <vt:lpstr>'PPTO Cierre CF Aeropuerto'!Títulos_a_imprimir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Viviana Fuentes Orellana (Arquitectura)</dc:creator>
  <cp:keywords/>
  <dc:description/>
  <cp:lastModifiedBy>Osvaldo Mella Escobar (DAP)</cp:lastModifiedBy>
  <cp:revision/>
  <cp:lastPrinted>2023-10-26T20:29:33Z</cp:lastPrinted>
  <dcterms:created xsi:type="dcterms:W3CDTF">2015-03-16T17:28:35Z</dcterms:created>
  <dcterms:modified xsi:type="dcterms:W3CDTF">2026-06-08T16:23:29Z</dcterms:modified>
  <cp:category/>
  <cp:contentStatus/>
</cp:coreProperties>
</file>