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a.morales\Downloads\"/>
    </mc:Choice>
  </mc:AlternateContent>
  <xr:revisionPtr revIDLastSave="0" documentId="13_ncr:1_{29C81C4C-2AE0-4F93-906B-B0F05033E80E}" xr6:coauthVersionLast="47" xr6:coauthVersionMax="47" xr10:uidLastSave="{00000000-0000-0000-0000-000000000000}"/>
  <bookViews>
    <workbookView xWindow="-28920" yWindow="-1980" windowWidth="29040" windowHeight="15720" xr2:uid="{00000000-000D-0000-FFFF-FFFF00000000}"/>
  </bookViews>
  <sheets>
    <sheet name="Evalua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8" i="1"/>
  <c r="R10" i="1"/>
  <c r="R9" i="1"/>
  <c r="N9" i="1" s="1"/>
  <c r="P19" i="1" l="1"/>
  <c r="P23" i="1"/>
  <c r="P15" i="1"/>
  <c r="P10" i="1"/>
  <c r="P8" i="1"/>
  <c r="P12" i="1"/>
  <c r="P16" i="1"/>
  <c r="P20" i="1"/>
  <c r="P24" i="1"/>
  <c r="P9" i="1"/>
  <c r="P13" i="1"/>
  <c r="P17" i="1"/>
  <c r="P21" i="1"/>
  <c r="P25" i="1"/>
  <c r="P11" i="1"/>
  <c r="P14" i="1"/>
  <c r="P18" i="1"/>
  <c r="P22" i="1"/>
  <c r="P26" i="1"/>
  <c r="P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tc={1db2efff-dded-4d53-812f-42dee8793ebc}</author>
    <author>tc={49aad50c-f982-49b6-aabe-6b6d80fb1861}</author>
    <author>tc={0f47ec08-6f41-4f16-a69f-f90e9f9aff14}</author>
    <author>tc={84a70be3-4ba3-4a20-a925-9e8efe1d2bd4}</author>
    <author>tc={1477a3db-b0c3-4f98-8eb0-c13b27e30454}</author>
    <author>tc={3028fae2-d8de-4567-b567-35f9a573a615}</author>
    <author>tc={43c8f17a-e54b-4b14-9023-6162a0c47bf5}</author>
    <author>tc={8b6a0e13-9726-4cc3-92b8-b637af454f11}</author>
    <author>tc={e581b5e8-1939-48fc-9353-9137e6bdc681}</author>
    <author>tc={6c80bccd-a089-4ddd-8595-99ebbe5796ff}</author>
    <author>tc={3a26471a-973c-4ea0-96b2-a7774e5da053}</author>
    <author>tc={FE92617D-00BA-4017-BFBD-D4AFC692E47E}</author>
    <author>tc={8F608913-8776-4D6E-8D1E-637B0E4A00CE}</author>
    <author>tc={4376D479-BD49-4C4A-8435-C6E609B7ED85}</author>
  </authors>
  <commentList>
    <comment ref="C7" authorId="0" shapeId="0" xr:uid="{1DB2EFFF-DDED-4D53-812F-42DEE8793E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Rut o Razón social del proveedor</t>
      </text>
    </comment>
    <comment ref="D7" authorId="1" shapeId="0" xr:uid="{49AAD50C-F982-49B6-AABE-6B6D80FB18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el precio de la oferta recepcionada</t>
      </text>
    </comment>
    <comment ref="E7" authorId="2" shapeId="0" xr:uid="{0F47EC08-6F41-4F16-A69F-F90E9F9AFF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F7" authorId="3" shapeId="0" xr:uid="{84A70BE3-4BA3-4A20-A925-9E8EFE1D2B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G7" authorId="4" shapeId="0" xr:uid="{1477A3DB-B0C3-4F98-8EB0-C13B27E304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H7" authorId="5" shapeId="0" xr:uid="{3028FAE2-D8DE-4567-B567-35F9A573A6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I7" authorId="6" shapeId="0" xr:uid="{43C8F17A-E54B-4B14-9023-6162A0C47B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J7" authorId="7" shapeId="0" xr:uid="{8B6A0E13-9726-4CC3-92B8-B637AF454F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K7" authorId="8" shapeId="0" xr:uid="{E581B5E8-1939-48FC-9353-9137E6BDC6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L7" authorId="9" shapeId="0" xr:uid="{6C80BCCD-A089-4DDD-8595-99EBBE579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M7" authorId="10" shapeId="0" xr:uid="{3A26471A-973C-4EA0-96B2-A7774E5DA0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"Si" cuando el oferente entregue respaldo según lo indicado en el Anexo "CRITERIO SUSTENTABLE PARA PROVEEDORES"</t>
      </text>
    </comment>
    <comment ref="N7" authorId="11" shapeId="0" xr:uid="{FE92617D-00BA-4017-BFBD-D4AFC692E4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Formula auto calculada. No borrar </t>
      </text>
    </comment>
    <comment ref="O7" authorId="12" shapeId="0" xr:uid="{8F608913-8776-4D6E-8D1E-637B0E4A00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Formula auto calculada. No borrar </t>
      </text>
    </comment>
    <comment ref="P7" authorId="13" shapeId="0" xr:uid="{4376D479-BD49-4C4A-8435-C6E609B7ED8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Formula auto calculada. No borrar </t>
      </text>
    </comment>
  </commentList>
</comments>
</file>

<file path=xl/sharedStrings.xml><?xml version="1.0" encoding="utf-8"?>
<sst xmlns="http://schemas.openxmlformats.org/spreadsheetml/2006/main" count="19" uniqueCount="19">
  <si>
    <t>PAUTA DE EVALUACIÓN</t>
  </si>
  <si>
    <t>Criterio económico (97%)</t>
  </si>
  <si>
    <t>Criterio sustentable (3%)</t>
  </si>
  <si>
    <t>TOTAL
Puntaje ponderado</t>
  </si>
  <si>
    <t>Proveedor</t>
  </si>
  <si>
    <t>PRECIO</t>
  </si>
  <si>
    <t>Convenio Reciclaje (papel, latas y vidrios)</t>
  </si>
  <si>
    <t>Convenio Reciclaje (tecnológico)</t>
  </si>
  <si>
    <t>Convenio Reciclaje desechos usados</t>
  </si>
  <si>
    <t>Política o procedimiento para el ahorro y/o la eficiencia energética (DIFUNDIDA)</t>
  </si>
  <si>
    <t>Sello de cuantificación</t>
  </si>
  <si>
    <t>Sello de reducción</t>
  </si>
  <si>
    <t>Sello de neutralización</t>
  </si>
  <si>
    <t>Sello de excelencia</t>
  </si>
  <si>
    <t>Acuerdo de producción limpia</t>
  </si>
  <si>
    <t>Criterio económico
 Puntos ponderados</t>
  </si>
  <si>
    <t>Criterio sustentable ponderado</t>
  </si>
  <si>
    <t>Total ponderado</t>
  </si>
  <si>
    <t>CONTRASEÑA: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</si>
</sst>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4" borderId="0" xfId="0" applyFont="1" applyFill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" fontId="5" fillId="2" borderId="6" xfId="0" applyNumberFormat="1" applyFont="1" applyFill="1" applyBorder="1" applyAlignment="1" applyProtection="1">
      <alignment horizontal="center" vertical="center" wrapText="1"/>
      <protection hidden="1"/>
    </xf>
    <xf numFmtId="4" fontId="5" fillId="2" borderId="7" xfId="0" applyNumberFormat="1" applyFont="1" applyFill="1" applyBorder="1" applyAlignment="1" applyProtection="1">
      <alignment horizontal="center" vertical="center" wrapText="1"/>
      <protection hidden="1"/>
    </xf>
    <xf numFmtId="4" fontId="5" fillId="2" borderId="8" xfId="0" applyNumberFormat="1" applyFont="1" applyFill="1" applyBorder="1" applyAlignment="1" applyProtection="1">
      <alignment horizontal="center" vertical="center" wrapText="1"/>
      <protection hidden="1"/>
    </xf>
    <xf numFmtId="2" fontId="5" fillId="2" borderId="9" xfId="0" applyNumberFormat="1" applyFont="1" applyFill="1" applyBorder="1" applyAlignment="1" applyProtection="1">
      <alignment horizontal="center" vertical="center" wrapText="1"/>
      <protection hidden="1"/>
    </xf>
    <xf numFmtId="4" fontId="5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5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/>
    <xf numFmtId="0" fontId="3" fillId="3" borderId="17" xfId="0" applyFont="1" applyFill="1" applyBorder="1"/>
    <xf numFmtId="0" fontId="1" fillId="0" borderId="3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a Nicole Morales Obrador" id="{1B4F1968-9054-41C8-8F40-5AF51BBBAFAD}" userId="" providerId="google-sheets"/>
  <person displayName="Andrea Morales Obrador" id="{497F31EB-9B07-4FAA-BB9A-D035582BE712}" userId="S-1-5-21-3728643555-959363570-1681149505-3066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02-04T17:33:19.00" personId="{1B4F1968-9054-41C8-8F40-5AF51BBBAFAD}" id="{1DB2EFFF-DDED-4D53-812F-42DEE8793EBC}">
    <text>Indique Rut o Razón social del proveedor</text>
  </threadedComment>
  <threadedComment ref="D7" dT="2026-02-04T17:26:25.00" personId="{1B4F1968-9054-41C8-8F40-5AF51BBBAFAD}" id="{49AAD50C-F982-49B6-AABE-6B6D80FB1861}">
    <text>Indique el precio de la oferta recepcionada</text>
  </threadedComment>
  <threadedComment ref="E7" dT="2026-02-04T17:27:31.00" personId="{1B4F1968-9054-41C8-8F40-5AF51BBBAFAD}" id="{0F47EC08-6F41-4F16-A69F-F90E9F9AFF14}">
    <text>Indique "Si" cuando el oferente entregue respaldo según lo indicado en el Anexo "CRITERIO SUSTENTABLE PARA PROVEEDORES"</text>
  </threadedComment>
  <threadedComment ref="F7" dT="2026-02-04T17:27:37.00" personId="{1B4F1968-9054-41C8-8F40-5AF51BBBAFAD}" id="{84A70BE3-4BA3-4A20-A925-9E8EFE1D2BD4}">
    <text>Indique "Si" cuando el oferente entregue respaldo según lo indicado en el Anexo "CRITERIO SUSTENTABLE PARA PROVEEDORES"</text>
  </threadedComment>
  <threadedComment ref="G7" dT="2026-02-04T17:27:43.00" personId="{1B4F1968-9054-41C8-8F40-5AF51BBBAFAD}" id="{1477A3DB-B0C3-4F98-8EB0-C13B27E30454}">
    <text>Indique "Si" cuando el oferente entregue respaldo según lo indicado en el Anexo "CRITERIO SUSTENTABLE PARA PROVEEDORES"</text>
  </threadedComment>
  <threadedComment ref="H7" dT="2026-02-04T17:27:47.00" personId="{1B4F1968-9054-41C8-8F40-5AF51BBBAFAD}" id="{3028FAE2-D8DE-4567-B567-35F9A573A615}">
    <text>Indique "Si" cuando el oferente entregue respaldo según lo indicado en el Anexo "CRITERIO SUSTENTABLE PARA PROVEEDORES"</text>
  </threadedComment>
  <threadedComment ref="I7" dT="2026-02-04T17:27:51.00" personId="{1B4F1968-9054-41C8-8F40-5AF51BBBAFAD}" id="{43C8F17A-E54B-4B14-9023-6162A0C47BF5}">
    <text>Indique "Si" cuando el oferente entregue respaldo según lo indicado en el Anexo "CRITERIO SUSTENTABLE PARA PROVEEDORES"</text>
  </threadedComment>
  <threadedComment ref="J7" dT="2026-02-04T17:27:55.00" personId="{1B4F1968-9054-41C8-8F40-5AF51BBBAFAD}" id="{8B6A0E13-9726-4CC3-92B8-B637AF454F11}">
    <text>Indique "Si" cuando el oferente entregue respaldo según lo indicado en el Anexo "CRITERIO SUSTENTABLE PARA PROVEEDORES"</text>
  </threadedComment>
  <threadedComment ref="K7" dT="2026-02-04T17:27:59.00" personId="{1B4F1968-9054-41C8-8F40-5AF51BBBAFAD}" id="{E581B5E8-1939-48FC-9353-9137E6BDC681}">
    <text>Indique "Si" cuando el oferente entregue respaldo según lo indicado en el Anexo "CRITERIO SUSTENTABLE PARA PROVEEDORES"</text>
  </threadedComment>
  <threadedComment ref="L7" dT="2026-02-04T17:28:04.00" personId="{1B4F1968-9054-41C8-8F40-5AF51BBBAFAD}" id="{6C80BCCD-A089-4DDD-8595-99EBBE5796FF}">
    <text>Indique "Si" cuando el oferente entregue respaldo según lo indicado en el Anexo "CRITERIO SUSTENTABLE PARA PROVEEDORES"</text>
  </threadedComment>
  <threadedComment ref="M7" dT="2026-02-04T17:28:11.00" personId="{1B4F1968-9054-41C8-8F40-5AF51BBBAFAD}" id="{3A26471A-973C-4EA0-96B2-A7774E5DA053}">
    <text>Indique "Si" cuando el oferente entregue respaldo según lo indicado en el Anexo "CRITERIO SUSTENTABLE PARA PROVEEDORES"</text>
  </threadedComment>
  <threadedComment ref="N7" dT="2026-02-04T17:53:31.29" personId="{497F31EB-9B07-4FAA-BB9A-D035582BE712}" id="{FE92617D-00BA-4017-BFBD-D4AFC692E47E}">
    <text xml:space="preserve">Formula auto calculada. No borrar </text>
  </threadedComment>
  <threadedComment ref="O7" dT="2026-02-04T17:53:35.87" personId="{497F31EB-9B07-4FAA-BB9A-D035582BE712}" id="{8F608913-8776-4D6E-8D1E-637B0E4A00CE}">
    <text xml:space="preserve">Formula auto calculada. No borrar </text>
  </threadedComment>
  <threadedComment ref="P7" dT="2026-02-04T17:53:40.97" personId="{497F31EB-9B07-4FAA-BB9A-D035582BE712}" id="{4376D479-BD49-4C4A-8435-C6E609B7ED85}">
    <text xml:space="preserve">Formula auto calculada. No borrar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tabSelected="1" workbookViewId="0">
      <selection activeCell="C8" sqref="C8"/>
    </sheetView>
  </sheetViews>
  <sheetFormatPr baseColWidth="10" defaultColWidth="0" defaultRowHeight="15.75" customHeight="1" zeroHeight="1" x14ac:dyDescent="0.2"/>
  <cols>
    <col min="1" max="2" width="3.42578125" customWidth="1"/>
    <col min="3" max="3" width="12.5703125" customWidth="1"/>
    <col min="4" max="4" width="21.5703125" customWidth="1"/>
    <col min="5" max="5" width="19.42578125" customWidth="1"/>
    <col min="6" max="8" width="12.5703125" customWidth="1"/>
    <col min="9" max="11" width="14.140625" customWidth="1"/>
    <col min="12" max="17" width="12.5703125" customWidth="1"/>
    <col min="18" max="27" width="12.5703125" hidden="1" customWidth="1"/>
    <col min="28" max="16384" width="12.5703125" hidden="1"/>
  </cols>
  <sheetData>
    <row r="1" spans="1:27" ht="15.75" customHeight="1" x14ac:dyDescent="0.2"/>
    <row r="2" spans="1:27" ht="15.75" customHeight="1" x14ac:dyDescent="0.2">
      <c r="C2" s="4" t="s">
        <v>18</v>
      </c>
      <c r="D2" s="4"/>
    </row>
    <row r="3" spans="1:27" ht="13.5" thickBo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thickBot="1" x14ac:dyDescent="0.25">
      <c r="A4" s="1"/>
      <c r="B4" s="1"/>
      <c r="C4" s="29" t="s">
        <v>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thickBo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2.25" thickBot="1" x14ac:dyDescent="0.25">
      <c r="A6" s="1"/>
      <c r="B6" s="1"/>
      <c r="D6" s="24" t="s">
        <v>1</v>
      </c>
      <c r="E6" s="25" t="s">
        <v>2</v>
      </c>
      <c r="F6" s="26"/>
      <c r="G6" s="26"/>
      <c r="H6" s="26"/>
      <c r="I6" s="26"/>
      <c r="J6" s="26"/>
      <c r="K6" s="26"/>
      <c r="L6" s="26"/>
      <c r="M6" s="27"/>
      <c r="N6" s="25" t="s">
        <v>3</v>
      </c>
      <c r="O6" s="26"/>
      <c r="P6" s="27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90" thickBot="1" x14ac:dyDescent="0.25">
      <c r="A7" s="1"/>
      <c r="B7" s="1"/>
      <c r="C7" s="17" t="s">
        <v>4</v>
      </c>
      <c r="D7" s="20" t="s">
        <v>5</v>
      </c>
      <c r="E7" s="21" t="s">
        <v>6</v>
      </c>
      <c r="F7" s="22" t="s">
        <v>7</v>
      </c>
      <c r="G7" s="22" t="s">
        <v>8</v>
      </c>
      <c r="H7" s="22" t="s">
        <v>9</v>
      </c>
      <c r="I7" s="22" t="s">
        <v>10</v>
      </c>
      <c r="J7" s="22" t="s">
        <v>11</v>
      </c>
      <c r="K7" s="22" t="s">
        <v>12</v>
      </c>
      <c r="L7" s="22" t="s">
        <v>13</v>
      </c>
      <c r="M7" s="23" t="s">
        <v>14</v>
      </c>
      <c r="N7" s="21" t="s">
        <v>15</v>
      </c>
      <c r="O7" s="22" t="s">
        <v>16</v>
      </c>
      <c r="P7" s="23" t="s">
        <v>17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x14ac:dyDescent="0.2">
      <c r="A8" s="1"/>
      <c r="B8" s="28">
        <v>1</v>
      </c>
      <c r="C8" s="18"/>
      <c r="D8" s="5"/>
      <c r="E8" s="7"/>
      <c r="F8" s="2"/>
      <c r="G8" s="2"/>
      <c r="H8" s="2"/>
      <c r="I8" s="2"/>
      <c r="J8" s="2"/>
      <c r="K8" s="2"/>
      <c r="L8" s="2"/>
      <c r="M8" s="8"/>
      <c r="N8" s="12">
        <f>IF(D8="",0,IFERROR(IF(D8=$R$9,100,($R$9/D8)*100)*97%,""))</f>
        <v>0</v>
      </c>
      <c r="O8" s="3">
        <f>(IF($E8="Si",10,0)+IF($F8="Si",10,0)+IF($G8="Si",10,0)+IF($H8="Si",10,0)+IF($I8="Si",10,0)+IF($J8="Si",10,0)+IF($K8="Si",10,0)+IF($L8="Si",20,0)+IF($M8="Si",10,0))*3%</f>
        <v>0</v>
      </c>
      <c r="P8" s="13">
        <f>IFERROR(N8+O8,"")</f>
        <v>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x14ac:dyDescent="0.2">
      <c r="A9" s="1"/>
      <c r="B9" s="5">
        <v>2</v>
      </c>
      <c r="C9" s="18"/>
      <c r="D9" s="5"/>
      <c r="E9" s="7"/>
      <c r="F9" s="2"/>
      <c r="G9" s="2"/>
      <c r="H9" s="2"/>
      <c r="I9" s="2"/>
      <c r="J9" s="2"/>
      <c r="K9" s="2"/>
      <c r="L9" s="2"/>
      <c r="M9" s="8"/>
      <c r="N9" s="12">
        <f t="shared" ref="N9:N27" si="0">IF(D9="",0,IFERROR(IF(D9=$R$9,100,($R$9/D9)*100)*97%,""))</f>
        <v>0</v>
      </c>
      <c r="O9" s="3">
        <f t="shared" ref="O9:O27" si="1">(IF($E9="Si",10,0)+IF($F9="Si",10,0)+IF($G9="Si",10,0)+IF($H9="Si",10,0)+IF($I9="Si",10,0)+IF($J9="Si",10,0)+IF($K9="Si",10,0)+IF($L9="Si",20,0)+IF($M9="Si",10,0))*3%</f>
        <v>0</v>
      </c>
      <c r="P9" s="13">
        <f t="shared" ref="P9:P27" si="2">IFERROR(N9+O9,"")</f>
        <v>0</v>
      </c>
      <c r="Q9" s="1"/>
      <c r="R9" s="1">
        <f>MIN(D8:D27)</f>
        <v>0</v>
      </c>
      <c r="S9" s="1"/>
      <c r="T9" s="1"/>
      <c r="U9" s="1"/>
      <c r="V9" s="1"/>
      <c r="W9" s="1"/>
      <c r="X9" s="1"/>
      <c r="Y9" s="1"/>
      <c r="Z9" s="1"/>
      <c r="AA9" s="1"/>
    </row>
    <row r="10" spans="1:27" ht="12.75" x14ac:dyDescent="0.2">
      <c r="A10" s="1"/>
      <c r="B10" s="5">
        <v>3</v>
      </c>
      <c r="C10" s="18"/>
      <c r="D10" s="5"/>
      <c r="E10" s="7"/>
      <c r="F10" s="2"/>
      <c r="G10" s="2"/>
      <c r="H10" s="2"/>
      <c r="I10" s="2"/>
      <c r="J10" s="2"/>
      <c r="K10" s="2"/>
      <c r="L10" s="2"/>
      <c r="M10" s="8"/>
      <c r="N10" s="12">
        <f t="shared" si="0"/>
        <v>0</v>
      </c>
      <c r="O10" s="3">
        <f t="shared" si="1"/>
        <v>0</v>
      </c>
      <c r="P10" s="13">
        <f t="shared" si="2"/>
        <v>0</v>
      </c>
      <c r="Q10" s="1"/>
      <c r="R10" s="1">
        <f>MAX(D8:D27)</f>
        <v>0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ht="12.75" x14ac:dyDescent="0.2">
      <c r="A11" s="1"/>
      <c r="B11" s="5">
        <v>4</v>
      </c>
      <c r="C11" s="18"/>
      <c r="D11" s="5"/>
      <c r="E11" s="7"/>
      <c r="F11" s="2"/>
      <c r="G11" s="2"/>
      <c r="H11" s="2"/>
      <c r="I11" s="2"/>
      <c r="J11" s="2"/>
      <c r="K11" s="2"/>
      <c r="L11" s="2"/>
      <c r="M11" s="8"/>
      <c r="N11" s="12">
        <f t="shared" si="0"/>
        <v>0</v>
      </c>
      <c r="O11" s="3">
        <f t="shared" si="1"/>
        <v>0</v>
      </c>
      <c r="P11" s="13">
        <f t="shared" si="2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x14ac:dyDescent="0.2">
      <c r="A12" s="1"/>
      <c r="B12" s="5">
        <v>5</v>
      </c>
      <c r="C12" s="18"/>
      <c r="D12" s="5"/>
      <c r="E12" s="7"/>
      <c r="F12" s="2"/>
      <c r="G12" s="2"/>
      <c r="H12" s="2"/>
      <c r="I12" s="2"/>
      <c r="J12" s="2"/>
      <c r="K12" s="2"/>
      <c r="L12" s="2"/>
      <c r="M12" s="8"/>
      <c r="N12" s="12">
        <f t="shared" si="0"/>
        <v>0</v>
      </c>
      <c r="O12" s="3">
        <f t="shared" si="1"/>
        <v>0</v>
      </c>
      <c r="P12" s="13">
        <f t="shared" si="2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x14ac:dyDescent="0.2">
      <c r="A13" s="1"/>
      <c r="B13" s="5">
        <v>6</v>
      </c>
      <c r="C13" s="18"/>
      <c r="D13" s="5"/>
      <c r="E13" s="7"/>
      <c r="F13" s="2"/>
      <c r="G13" s="2"/>
      <c r="H13" s="2"/>
      <c r="I13" s="2"/>
      <c r="J13" s="2"/>
      <c r="K13" s="2"/>
      <c r="L13" s="2"/>
      <c r="M13" s="8"/>
      <c r="N13" s="12">
        <f t="shared" si="0"/>
        <v>0</v>
      </c>
      <c r="O13" s="3">
        <f t="shared" si="1"/>
        <v>0</v>
      </c>
      <c r="P13" s="13">
        <f t="shared" si="2"/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x14ac:dyDescent="0.2">
      <c r="A14" s="1"/>
      <c r="B14" s="5">
        <v>7</v>
      </c>
      <c r="C14" s="18"/>
      <c r="D14" s="5"/>
      <c r="E14" s="7"/>
      <c r="F14" s="2"/>
      <c r="G14" s="2"/>
      <c r="H14" s="2"/>
      <c r="I14" s="2"/>
      <c r="J14" s="2"/>
      <c r="K14" s="2"/>
      <c r="L14" s="2"/>
      <c r="M14" s="8"/>
      <c r="N14" s="12">
        <f t="shared" si="0"/>
        <v>0</v>
      </c>
      <c r="O14" s="3">
        <f t="shared" si="1"/>
        <v>0</v>
      </c>
      <c r="P14" s="13">
        <f t="shared" si="2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x14ac:dyDescent="0.2">
      <c r="A15" s="1"/>
      <c r="B15" s="5">
        <v>8</v>
      </c>
      <c r="C15" s="18"/>
      <c r="D15" s="5"/>
      <c r="E15" s="7"/>
      <c r="F15" s="2"/>
      <c r="G15" s="2"/>
      <c r="H15" s="2"/>
      <c r="I15" s="2"/>
      <c r="J15" s="2"/>
      <c r="K15" s="2"/>
      <c r="L15" s="2"/>
      <c r="M15" s="8"/>
      <c r="N15" s="12">
        <f t="shared" si="0"/>
        <v>0</v>
      </c>
      <c r="O15" s="3">
        <f t="shared" si="1"/>
        <v>0</v>
      </c>
      <c r="P15" s="13">
        <f t="shared" si="2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x14ac:dyDescent="0.2">
      <c r="A16" s="1"/>
      <c r="B16" s="5">
        <v>9</v>
      </c>
      <c r="C16" s="18"/>
      <c r="D16" s="5"/>
      <c r="E16" s="7"/>
      <c r="F16" s="2"/>
      <c r="G16" s="2"/>
      <c r="H16" s="2"/>
      <c r="I16" s="2"/>
      <c r="J16" s="2"/>
      <c r="K16" s="2"/>
      <c r="L16" s="2"/>
      <c r="M16" s="8"/>
      <c r="N16" s="12">
        <f t="shared" si="0"/>
        <v>0</v>
      </c>
      <c r="O16" s="3">
        <f t="shared" si="1"/>
        <v>0</v>
      </c>
      <c r="P16" s="13">
        <f t="shared" si="2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x14ac:dyDescent="0.2">
      <c r="A17" s="1"/>
      <c r="B17" s="5">
        <v>10</v>
      </c>
      <c r="C17" s="18"/>
      <c r="D17" s="5"/>
      <c r="E17" s="7"/>
      <c r="F17" s="2"/>
      <c r="G17" s="2"/>
      <c r="H17" s="2"/>
      <c r="I17" s="2"/>
      <c r="J17" s="2"/>
      <c r="K17" s="2"/>
      <c r="L17" s="2"/>
      <c r="M17" s="8"/>
      <c r="N17" s="12">
        <f t="shared" si="0"/>
        <v>0</v>
      </c>
      <c r="O17" s="3">
        <f t="shared" si="1"/>
        <v>0</v>
      </c>
      <c r="P17" s="13">
        <f t="shared" si="2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x14ac:dyDescent="0.2">
      <c r="A18" s="1"/>
      <c r="B18" s="5">
        <v>11</v>
      </c>
      <c r="C18" s="18"/>
      <c r="D18" s="5"/>
      <c r="E18" s="7"/>
      <c r="F18" s="2"/>
      <c r="G18" s="2"/>
      <c r="H18" s="2"/>
      <c r="I18" s="2"/>
      <c r="J18" s="2"/>
      <c r="K18" s="2"/>
      <c r="L18" s="2"/>
      <c r="M18" s="8"/>
      <c r="N18" s="12">
        <f t="shared" si="0"/>
        <v>0</v>
      </c>
      <c r="O18" s="3">
        <f t="shared" si="1"/>
        <v>0</v>
      </c>
      <c r="P18" s="13">
        <f t="shared" si="2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x14ac:dyDescent="0.2">
      <c r="A19" s="1"/>
      <c r="B19" s="5">
        <v>12</v>
      </c>
      <c r="C19" s="18"/>
      <c r="D19" s="5"/>
      <c r="E19" s="7"/>
      <c r="F19" s="2"/>
      <c r="G19" s="2"/>
      <c r="H19" s="2"/>
      <c r="I19" s="2"/>
      <c r="J19" s="2"/>
      <c r="K19" s="2"/>
      <c r="L19" s="2"/>
      <c r="M19" s="8"/>
      <c r="N19" s="12">
        <f t="shared" si="0"/>
        <v>0</v>
      </c>
      <c r="O19" s="3">
        <f t="shared" si="1"/>
        <v>0</v>
      </c>
      <c r="P19" s="13">
        <f t="shared" si="2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x14ac:dyDescent="0.2">
      <c r="A20" s="1"/>
      <c r="B20" s="5">
        <v>13</v>
      </c>
      <c r="C20" s="18"/>
      <c r="D20" s="5"/>
      <c r="E20" s="7"/>
      <c r="F20" s="2"/>
      <c r="G20" s="2"/>
      <c r="H20" s="2"/>
      <c r="I20" s="2"/>
      <c r="J20" s="2"/>
      <c r="K20" s="2"/>
      <c r="L20" s="2"/>
      <c r="M20" s="8"/>
      <c r="N20" s="12">
        <f t="shared" si="0"/>
        <v>0</v>
      </c>
      <c r="O20" s="3">
        <f t="shared" si="1"/>
        <v>0</v>
      </c>
      <c r="P20" s="13">
        <f t="shared" si="2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x14ac:dyDescent="0.2">
      <c r="A21" s="1"/>
      <c r="B21" s="5">
        <v>14</v>
      </c>
      <c r="C21" s="18"/>
      <c r="D21" s="5"/>
      <c r="E21" s="7"/>
      <c r="F21" s="2"/>
      <c r="G21" s="2"/>
      <c r="H21" s="2"/>
      <c r="I21" s="2"/>
      <c r="J21" s="2"/>
      <c r="K21" s="2"/>
      <c r="L21" s="2"/>
      <c r="M21" s="8"/>
      <c r="N21" s="12">
        <f t="shared" si="0"/>
        <v>0</v>
      </c>
      <c r="O21" s="3">
        <f t="shared" si="1"/>
        <v>0</v>
      </c>
      <c r="P21" s="13">
        <f t="shared" si="2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x14ac:dyDescent="0.2">
      <c r="A22" s="1"/>
      <c r="B22" s="5">
        <v>15</v>
      </c>
      <c r="C22" s="18"/>
      <c r="D22" s="5"/>
      <c r="E22" s="7"/>
      <c r="F22" s="2"/>
      <c r="G22" s="2"/>
      <c r="H22" s="2"/>
      <c r="I22" s="2"/>
      <c r="J22" s="2"/>
      <c r="K22" s="2"/>
      <c r="L22" s="2"/>
      <c r="M22" s="8"/>
      <c r="N22" s="12">
        <f t="shared" si="0"/>
        <v>0</v>
      </c>
      <c r="O22" s="3">
        <f t="shared" si="1"/>
        <v>0</v>
      </c>
      <c r="P22" s="13">
        <f t="shared" si="2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x14ac:dyDescent="0.2">
      <c r="A23" s="1"/>
      <c r="B23" s="5">
        <v>16</v>
      </c>
      <c r="C23" s="18"/>
      <c r="D23" s="5"/>
      <c r="E23" s="7"/>
      <c r="F23" s="2"/>
      <c r="G23" s="2"/>
      <c r="H23" s="2"/>
      <c r="I23" s="2"/>
      <c r="J23" s="2"/>
      <c r="K23" s="2"/>
      <c r="L23" s="2"/>
      <c r="M23" s="8"/>
      <c r="N23" s="12">
        <f t="shared" si="0"/>
        <v>0</v>
      </c>
      <c r="O23" s="3">
        <f t="shared" si="1"/>
        <v>0</v>
      </c>
      <c r="P23" s="13">
        <f t="shared" si="2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x14ac:dyDescent="0.2">
      <c r="A24" s="1"/>
      <c r="B24" s="5">
        <v>17</v>
      </c>
      <c r="C24" s="18"/>
      <c r="D24" s="5"/>
      <c r="E24" s="7"/>
      <c r="F24" s="2"/>
      <c r="G24" s="2"/>
      <c r="H24" s="2"/>
      <c r="I24" s="2"/>
      <c r="J24" s="2"/>
      <c r="K24" s="2"/>
      <c r="L24" s="2"/>
      <c r="M24" s="8"/>
      <c r="N24" s="12">
        <f t="shared" si="0"/>
        <v>0</v>
      </c>
      <c r="O24" s="3">
        <f t="shared" si="1"/>
        <v>0</v>
      </c>
      <c r="P24" s="13">
        <f t="shared" si="2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x14ac:dyDescent="0.2">
      <c r="A25" s="1"/>
      <c r="B25" s="5">
        <v>18</v>
      </c>
      <c r="C25" s="18"/>
      <c r="D25" s="5"/>
      <c r="E25" s="7"/>
      <c r="F25" s="2"/>
      <c r="G25" s="2"/>
      <c r="H25" s="2"/>
      <c r="I25" s="2"/>
      <c r="J25" s="2"/>
      <c r="K25" s="2"/>
      <c r="L25" s="2"/>
      <c r="M25" s="8"/>
      <c r="N25" s="12">
        <f t="shared" si="0"/>
        <v>0</v>
      </c>
      <c r="O25" s="3">
        <f t="shared" si="1"/>
        <v>0</v>
      </c>
      <c r="P25" s="13">
        <f t="shared" si="2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x14ac:dyDescent="0.2">
      <c r="A26" s="1"/>
      <c r="B26" s="5">
        <v>19</v>
      </c>
      <c r="C26" s="18"/>
      <c r="D26" s="5"/>
      <c r="E26" s="7"/>
      <c r="F26" s="2"/>
      <c r="G26" s="2"/>
      <c r="H26" s="2"/>
      <c r="I26" s="2"/>
      <c r="J26" s="2"/>
      <c r="K26" s="2"/>
      <c r="L26" s="2"/>
      <c r="M26" s="8"/>
      <c r="N26" s="12">
        <f t="shared" si="0"/>
        <v>0</v>
      </c>
      <c r="O26" s="3">
        <f t="shared" si="1"/>
        <v>0</v>
      </c>
      <c r="P26" s="13">
        <f t="shared" si="2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thickBot="1" x14ac:dyDescent="0.25">
      <c r="A27" s="1"/>
      <c r="B27" s="6">
        <v>20</v>
      </c>
      <c r="C27" s="19"/>
      <c r="D27" s="6"/>
      <c r="E27" s="9"/>
      <c r="F27" s="10"/>
      <c r="G27" s="10"/>
      <c r="H27" s="10"/>
      <c r="I27" s="10"/>
      <c r="J27" s="10"/>
      <c r="K27" s="10"/>
      <c r="L27" s="10"/>
      <c r="M27" s="11"/>
      <c r="N27" s="14">
        <f t="shared" si="0"/>
        <v>0</v>
      </c>
      <c r="O27" s="15">
        <f t="shared" si="1"/>
        <v>0</v>
      </c>
      <c r="P27" s="16">
        <f t="shared" si="2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x14ac:dyDescent="0.2">
      <c r="A28" s="1"/>
      <c r="B28" s="1"/>
      <c r="C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x14ac:dyDescent="0.2">
      <c r="A29" s="1"/>
      <c r="B29" s="1"/>
      <c r="C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hidden="1" x14ac:dyDescent="0.2">
      <c r="A30" s="1"/>
      <c r="B30" s="1"/>
      <c r="C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hidden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hidden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hidden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hidden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hidden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hidden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hidden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hidden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hidden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hidden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hidden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hidden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hidden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hidden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hidden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hidden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hidden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hidden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hidden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hidden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hidden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hidden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hidden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hidden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hidden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hidden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hidden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hidden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hidden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hidden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hidden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hidden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hidden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hidden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hidden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hidden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hidden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hidden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hidden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hidden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hidden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hidden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hidden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hidden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hidden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hidden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hidden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hidden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hidden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hidden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hidden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hidden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hidden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hidden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hidden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hidden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hidden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hidden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hidden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hidden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hidden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hidden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hidden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hidden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hidden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hidden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hidden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hidden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hidden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hidden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hidden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hidden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hidden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hidden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hidden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hidden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hidden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hidden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hidden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hidden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hidden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hidden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hidden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hidden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hidden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hidden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hidden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hidden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hidden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hidden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hidden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hidden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hidden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hidden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hidden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hidden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hidden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hidden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sheetProtection algorithmName="SHA-512" hashValue="nUOwdzMNhSGBs3lARfrhSXcS/BShcCvqMGYo8GS+Cwqmx6wDvUCLGxAQeKSkKG8zBlJJjM56KNmkEDtb/+bu9w==" saltValue="bXA6S35mKFxbeaujhKo2bg==" spinCount="100000" sheet="1" objects="1" scenarios="1"/>
  <protectedRanges>
    <protectedRange algorithmName="SHA-512" hashValue="jkS4s/Pnn+MVqi2TVcZBejBDzfRuwihttIN2PHUR23P40v2c7s74dktng8QeY6HGRWN29c2OziD/WbDl//0P+Q==" saltValue="q7LanT3EuF85VF0VxzqF4A==" spinCount="100000" sqref="C8:M27" name="Datos"/>
  </protectedRanges>
  <mergeCells count="4">
    <mergeCell ref="C4:P4"/>
    <mergeCell ref="E6:M6"/>
    <mergeCell ref="N6:P6"/>
    <mergeCell ref="C2:D2"/>
  </mergeCells>
  <conditionalFormatting sqref="P8:P27">
    <cfRule type="colorScale" priority="1">
      <colorScale>
        <cfvo type="min"/>
        <cfvo type="percentile" val="50"/>
        <cfvo type="max"/>
        <color rgb="FFFFFFFF"/>
        <color rgb="FFFFFFFF"/>
        <color rgb="FF57BB8A"/>
      </colorScale>
    </cfRule>
  </conditionalFormatting>
  <dataValidations count="1">
    <dataValidation type="list" allowBlank="1" showErrorMessage="1" sqref="E8:M27" xr:uid="{00000000-0002-0000-0000-000000000000}">
      <formula1>"Si,No"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Morales Obrador</cp:lastModifiedBy>
  <dcterms:modified xsi:type="dcterms:W3CDTF">2026-02-09T14:11:57Z</dcterms:modified>
</cp:coreProperties>
</file>