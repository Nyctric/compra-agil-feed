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delva.espindola\Desktop\SECPLAC LIC\COMPRA ÁGIL PÉRGOLA\Antecedentes\"/>
    </mc:Choice>
  </mc:AlternateContent>
  <bookViews>
    <workbookView xWindow="0" yWindow="0" windowWidth="21570" windowHeight="7455"/>
  </bookViews>
  <sheets>
    <sheet name="Hoja1" sheetId="1" r:id="rId1"/>
  </sheets>
  <definedNames>
    <definedName name="_xlnm.Print_Area" localSheetId="0">Hoja1!$B$3:$I$33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I30" i="1" s="1"/>
  <c r="I29" i="1" l="1"/>
  <c r="I31" i="1"/>
  <c r="I32" i="1" s="1"/>
  <c r="I33" i="1" s="1"/>
</calcChain>
</file>

<file path=xl/sharedStrings.xml><?xml version="1.0" encoding="utf-8"?>
<sst xmlns="http://schemas.openxmlformats.org/spreadsheetml/2006/main" count="48" uniqueCount="38">
  <si>
    <t>Pergola</t>
  </si>
  <si>
    <t>unidad</t>
  </si>
  <si>
    <t>gl</t>
  </si>
  <si>
    <t>Pintura</t>
  </si>
  <si>
    <t>m2</t>
  </si>
  <si>
    <t>Oleo brillante</t>
  </si>
  <si>
    <t>Retiro material existente</t>
  </si>
  <si>
    <t>Alumbrado</t>
  </si>
  <si>
    <t>Equipo led estancox2C/ tubos</t>
  </si>
  <si>
    <t>Foco led</t>
  </si>
  <si>
    <t>Gastos Generales</t>
  </si>
  <si>
    <t>Iva</t>
  </si>
  <si>
    <t>Neto</t>
  </si>
  <si>
    <t>Utilidades</t>
  </si>
  <si>
    <t>Retiro</t>
  </si>
  <si>
    <t>Limpieza de estructuras</t>
  </si>
  <si>
    <t>Canalizacion toma corriente</t>
  </si>
  <si>
    <t>Diferencial 25 A</t>
  </si>
  <si>
    <t>Fotocelda</t>
  </si>
  <si>
    <t>Metal desplegado 27/12/4/1</t>
  </si>
  <si>
    <t>Macetero y Quincho</t>
  </si>
  <si>
    <t xml:space="preserve">Limpieza </t>
  </si>
  <si>
    <t>Aseo</t>
  </si>
  <si>
    <t>kg</t>
  </si>
  <si>
    <t>Quincho</t>
  </si>
  <si>
    <t xml:space="preserve">Bancas </t>
  </si>
  <si>
    <t>Basurero</t>
  </si>
  <si>
    <t>Item</t>
  </si>
  <si>
    <t>Ángulos 20x20x2 mm</t>
  </si>
  <si>
    <t>Importe total</t>
  </si>
  <si>
    <t>Coosto directo</t>
  </si>
  <si>
    <t>Descripción</t>
  </si>
  <si>
    <t>Unidad</t>
  </si>
  <si>
    <t>Cantidad</t>
  </si>
  <si>
    <t>Precio unit</t>
  </si>
  <si>
    <t>Precio total</t>
  </si>
  <si>
    <t>Anexo N°01 Presupuesto</t>
  </si>
  <si>
    <t>Comité de adelanto "Nuevo Amanecer", Mejoramiento Pergola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</si>
</sst>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3" xfId="0" applyFill="1" applyBorder="1"/>
    <xf numFmtId="0" fontId="0" fillId="2" borderId="4" xfId="0" applyFill="1" applyBorder="1"/>
    <xf numFmtId="0" fontId="2" fillId="2" borderId="3" xfId="0" applyFont="1" applyFill="1" applyBorder="1"/>
    <xf numFmtId="42" fontId="0" fillId="2" borderId="3" xfId="1" applyFont="1" applyFill="1" applyBorder="1"/>
    <xf numFmtId="42" fontId="0" fillId="2" borderId="4" xfId="1" applyFont="1" applyFill="1" applyBorder="1"/>
    <xf numFmtId="0" fontId="0" fillId="0" borderId="1" xfId="0" applyBorder="1"/>
    <xf numFmtId="0" fontId="0" fillId="0" borderId="0" xfId="0" applyBorder="1"/>
    <xf numFmtId="42" fontId="0" fillId="0" borderId="0" xfId="1" applyFont="1" applyBorder="1"/>
    <xf numFmtId="42" fontId="0" fillId="0" borderId="9" xfId="1" applyFont="1" applyBorder="1"/>
    <xf numFmtId="0" fontId="0" fillId="0" borderId="11" xfId="0" applyBorder="1"/>
    <xf numFmtId="42" fontId="0" fillId="0" borderId="12" xfId="1" applyFont="1" applyBorder="1"/>
    <xf numFmtId="0" fontId="2" fillId="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0" xfId="0" applyBorder="1"/>
    <xf numFmtId="42" fontId="0" fillId="0" borderId="4" xfId="1" applyFont="1" applyBorder="1"/>
    <xf numFmtId="9" fontId="0" fillId="0" borderId="2" xfId="0" applyNumberFormat="1" applyBorder="1"/>
    <xf numFmtId="42" fontId="0" fillId="0" borderId="4" xfId="0" applyNumberFormat="1" applyBorder="1"/>
    <xf numFmtId="42" fontId="2" fillId="0" borderId="12" xfId="0" applyNumberFormat="1" applyFont="1" applyBorder="1"/>
    <xf numFmtId="0" fontId="0" fillId="0" borderId="0" xfId="0" applyFill="1" applyBorder="1"/>
    <xf numFmtId="0" fontId="0" fillId="0" borderId="13" xfId="0" applyFill="1" applyBorder="1" applyAlignment="1">
      <alignment horizontal="center"/>
    </xf>
    <xf numFmtId="42" fontId="0" fillId="0" borderId="0" xfId="1" applyFont="1" applyFill="1" applyBorder="1"/>
    <xf numFmtId="0" fontId="2" fillId="0" borderId="13" xfId="0" applyFont="1" applyFill="1" applyBorder="1" applyAlignment="1">
      <alignment horizontal="center"/>
    </xf>
    <xf numFmtId="42" fontId="0" fillId="0" borderId="5" xfId="1" applyFont="1" applyBorder="1"/>
    <xf numFmtId="42" fontId="0" fillId="0" borderId="17" xfId="1" applyFont="1" applyBorder="1"/>
    <xf numFmtId="42" fontId="0" fillId="0" borderId="9" xfId="1" applyFont="1" applyFill="1" applyBorder="1"/>
    <xf numFmtId="42" fontId="0" fillId="0" borderId="11" xfId="1" applyFont="1" applyFill="1" applyBorder="1"/>
    <xf numFmtId="0" fontId="2" fillId="2" borderId="14" xfId="0" applyFont="1" applyFill="1" applyBorder="1" applyAlignment="1">
      <alignment horizontal="center"/>
    </xf>
    <xf numFmtId="0" fontId="0" fillId="2" borderId="5" xfId="0" applyFill="1" applyBorder="1"/>
    <xf numFmtId="0" fontId="0" fillId="2" borderId="17" xfId="0" applyFill="1" applyBorder="1"/>
    <xf numFmtId="42" fontId="0" fillId="0" borderId="12" xfId="1" applyFont="1" applyFill="1" applyBorder="1"/>
    <xf numFmtId="0" fontId="0" fillId="0" borderId="11" xfId="0" applyFill="1" applyBorder="1"/>
    <xf numFmtId="0" fontId="0" fillId="0" borderId="3" xfId="0" applyFill="1" applyBorder="1"/>
    <xf numFmtId="42" fontId="0" fillId="0" borderId="3" xfId="1" applyFont="1" applyFill="1" applyBorder="1"/>
    <xf numFmtId="0" fontId="0" fillId="0" borderId="0" xfId="0" applyFill="1" applyBorder="1" applyAlignment="1">
      <alignment horizontal="right"/>
    </xf>
    <xf numFmtId="0" fontId="0" fillId="0" borderId="18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7" xfId="0" applyBorder="1"/>
    <xf numFmtId="0" fontId="0" fillId="0" borderId="12" xfId="0" applyBorder="1"/>
    <xf numFmtId="0" fontId="0" fillId="0" borderId="1" xfId="0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3"/>
  <sheetViews>
    <sheetView tabSelected="1" workbookViewId="0">
      <selection activeCell="K14" sqref="K14"/>
    </sheetView>
  </sheetViews>
  <sheetFormatPr baseColWidth="10" defaultRowHeight="15" x14ac:dyDescent="0.25"/>
  <cols>
    <col min="3" max="3" width="12.85546875" customWidth="1"/>
  </cols>
  <sheetData>
    <row r="1" spans="2:9" ht="15.75" thickBot="1" x14ac:dyDescent="0.3"/>
    <row r="2" spans="2:9" x14ac:dyDescent="0.25">
      <c r="B2" s="23" t="s">
        <v>36</v>
      </c>
      <c r="C2" s="3"/>
      <c r="D2" s="3"/>
      <c r="E2" s="3"/>
      <c r="F2" s="49"/>
    </row>
    <row r="3" spans="2:9" ht="15.75" thickBot="1" x14ac:dyDescent="0.3">
      <c r="B3" s="25" t="s">
        <v>37</v>
      </c>
      <c r="C3" s="16"/>
      <c r="D3" s="16"/>
      <c r="E3" s="16"/>
      <c r="F3" s="50"/>
    </row>
    <row r="4" spans="2:9" ht="15.75" thickBot="1" x14ac:dyDescent="0.3"/>
    <row r="5" spans="2:9" ht="15.75" thickBot="1" x14ac:dyDescent="0.3">
      <c r="B5" s="12" t="s">
        <v>27</v>
      </c>
      <c r="C5" s="3" t="s">
        <v>31</v>
      </c>
      <c r="D5" s="3"/>
      <c r="E5" s="3"/>
      <c r="F5" s="4" t="s">
        <v>32</v>
      </c>
      <c r="G5" s="5" t="s">
        <v>33</v>
      </c>
      <c r="H5" s="5" t="s">
        <v>34</v>
      </c>
      <c r="I5" s="6" t="s">
        <v>35</v>
      </c>
    </row>
    <row r="6" spans="2:9" ht="15.75" thickBot="1" x14ac:dyDescent="0.3">
      <c r="B6" s="18">
        <v>1</v>
      </c>
      <c r="C6" s="9" t="s">
        <v>14</v>
      </c>
      <c r="D6" s="7"/>
      <c r="E6" s="7"/>
      <c r="F6" s="7"/>
      <c r="G6" s="7"/>
      <c r="H6" s="7"/>
      <c r="I6" s="8"/>
    </row>
    <row r="7" spans="2:9" ht="15.75" thickBot="1" x14ac:dyDescent="0.3">
      <c r="B7" s="19">
        <v>1.1000000000000001</v>
      </c>
      <c r="C7" s="13" t="s">
        <v>6</v>
      </c>
      <c r="D7" s="13"/>
      <c r="E7" s="13"/>
      <c r="F7" s="20" t="s">
        <v>2</v>
      </c>
      <c r="G7" s="13">
        <v>1</v>
      </c>
      <c r="H7" s="14"/>
      <c r="I7" s="15"/>
    </row>
    <row r="8" spans="2:9" ht="15.75" thickBot="1" x14ac:dyDescent="0.3">
      <c r="B8" s="18">
        <v>2</v>
      </c>
      <c r="C8" s="9" t="s">
        <v>3</v>
      </c>
      <c r="D8" s="7"/>
      <c r="E8" s="7"/>
      <c r="F8" s="22"/>
      <c r="G8" s="7"/>
      <c r="H8" s="10"/>
      <c r="I8" s="11"/>
    </row>
    <row r="9" spans="2:9" x14ac:dyDescent="0.25">
      <c r="B9" s="19">
        <v>2.1</v>
      </c>
      <c r="C9" s="13" t="s">
        <v>15</v>
      </c>
      <c r="D9" s="13"/>
      <c r="E9" s="13"/>
      <c r="F9" s="21" t="s">
        <v>2</v>
      </c>
      <c r="G9" s="13">
        <v>1</v>
      </c>
      <c r="H9" s="14"/>
      <c r="I9" s="15"/>
    </row>
    <row r="10" spans="2:9" ht="15.75" thickBot="1" x14ac:dyDescent="0.3">
      <c r="B10" s="19">
        <v>2.2000000000000002</v>
      </c>
      <c r="C10" s="13" t="s">
        <v>5</v>
      </c>
      <c r="D10" s="13"/>
      <c r="E10" s="13"/>
      <c r="F10" s="21" t="s">
        <v>4</v>
      </c>
      <c r="G10" s="13">
        <v>26.57</v>
      </c>
      <c r="H10" s="14"/>
      <c r="I10" s="15"/>
    </row>
    <row r="11" spans="2:9" ht="15.75" thickBot="1" x14ac:dyDescent="0.3">
      <c r="B11" s="18">
        <v>3</v>
      </c>
      <c r="C11" s="7" t="s">
        <v>0</v>
      </c>
      <c r="D11" s="7"/>
      <c r="E11" s="7"/>
      <c r="F11" s="22"/>
      <c r="G11" s="7"/>
      <c r="H11" s="7"/>
      <c r="I11" s="8"/>
    </row>
    <row r="12" spans="2:9" x14ac:dyDescent="0.25">
      <c r="B12" s="19">
        <v>3.1</v>
      </c>
      <c r="C12" s="13" t="s">
        <v>19</v>
      </c>
      <c r="D12" s="13"/>
      <c r="E12" s="13"/>
      <c r="F12" s="21" t="s">
        <v>4</v>
      </c>
      <c r="G12" s="13">
        <v>32.49</v>
      </c>
      <c r="H12" s="14"/>
      <c r="I12" s="15"/>
    </row>
    <row r="13" spans="2:9" ht="15.75" thickBot="1" x14ac:dyDescent="0.3">
      <c r="B13" s="19">
        <v>3.2</v>
      </c>
      <c r="C13" s="30" t="s">
        <v>28</v>
      </c>
      <c r="F13" s="31" t="s">
        <v>23</v>
      </c>
      <c r="G13" s="30">
        <v>18</v>
      </c>
      <c r="H13" s="32"/>
      <c r="I13" s="17"/>
    </row>
    <row r="14" spans="2:9" ht="15.75" thickBot="1" x14ac:dyDescent="0.3">
      <c r="B14" s="18">
        <v>4</v>
      </c>
      <c r="C14" s="7" t="s">
        <v>7</v>
      </c>
      <c r="D14" s="7"/>
      <c r="E14" s="7"/>
      <c r="F14" s="22"/>
      <c r="G14" s="7"/>
      <c r="H14" s="10"/>
      <c r="I14" s="11"/>
    </row>
    <row r="15" spans="2:9" x14ac:dyDescent="0.25">
      <c r="B15" s="19">
        <v>4.0999999999999996</v>
      </c>
      <c r="C15" s="13" t="s">
        <v>8</v>
      </c>
      <c r="D15" s="13"/>
      <c r="E15" s="13"/>
      <c r="F15" s="21" t="s">
        <v>1</v>
      </c>
      <c r="G15" s="3">
        <v>5</v>
      </c>
      <c r="H15" s="34"/>
      <c r="I15" s="35"/>
    </row>
    <row r="16" spans="2:9" x14ac:dyDescent="0.25">
      <c r="B16" s="19">
        <v>4.2</v>
      </c>
      <c r="C16" s="13" t="s">
        <v>9</v>
      </c>
      <c r="D16" s="13"/>
      <c r="E16" s="13"/>
      <c r="F16" s="21" t="s">
        <v>1</v>
      </c>
      <c r="G16" s="13">
        <v>1</v>
      </c>
      <c r="H16" s="14"/>
      <c r="I16" s="15"/>
    </row>
    <row r="17" spans="2:9" x14ac:dyDescent="0.25">
      <c r="B17" s="33">
        <v>4.3</v>
      </c>
      <c r="C17" s="30" t="s">
        <v>16</v>
      </c>
      <c r="F17" s="31" t="s">
        <v>2</v>
      </c>
      <c r="G17" s="45">
        <v>1</v>
      </c>
      <c r="H17" s="32"/>
      <c r="I17" s="36"/>
    </row>
    <row r="18" spans="2:9" x14ac:dyDescent="0.25">
      <c r="B18" s="33">
        <v>4.4000000000000004</v>
      </c>
      <c r="C18" s="30" t="s">
        <v>17</v>
      </c>
      <c r="F18" s="31" t="s">
        <v>1</v>
      </c>
      <c r="G18" s="30">
        <v>1</v>
      </c>
      <c r="H18" s="32"/>
      <c r="I18" s="15"/>
    </row>
    <row r="19" spans="2:9" ht="15.75" thickBot="1" x14ac:dyDescent="0.3">
      <c r="B19" s="33">
        <v>4.5</v>
      </c>
      <c r="C19" s="30" t="s">
        <v>18</v>
      </c>
      <c r="F19" s="31" t="s">
        <v>1</v>
      </c>
      <c r="G19" s="42">
        <v>1</v>
      </c>
      <c r="H19" s="37"/>
      <c r="I19" s="17"/>
    </row>
    <row r="20" spans="2:9" ht="15.75" thickBot="1" x14ac:dyDescent="0.3">
      <c r="B20" s="38">
        <v>5</v>
      </c>
      <c r="C20" s="39" t="s">
        <v>24</v>
      </c>
      <c r="D20" s="39"/>
      <c r="E20" s="39"/>
      <c r="F20" s="22"/>
      <c r="G20" s="39"/>
      <c r="H20" s="39"/>
      <c r="I20" s="40"/>
    </row>
    <row r="21" spans="2:9" x14ac:dyDescent="0.25">
      <c r="B21" s="47">
        <v>5.0999999999999996</v>
      </c>
      <c r="C21" s="3" t="s">
        <v>25</v>
      </c>
      <c r="D21" s="3"/>
      <c r="E21" s="3"/>
      <c r="F21" s="21" t="s">
        <v>1</v>
      </c>
      <c r="G21" s="3">
        <v>3</v>
      </c>
      <c r="H21" s="34"/>
      <c r="I21" s="35"/>
    </row>
    <row r="22" spans="2:9" x14ac:dyDescent="0.25">
      <c r="B22" s="33">
        <v>5.2</v>
      </c>
      <c r="C22" s="30" t="s">
        <v>26</v>
      </c>
      <c r="D22" s="13"/>
      <c r="E22" s="13"/>
      <c r="F22" s="21" t="s">
        <v>1</v>
      </c>
      <c r="G22" s="30">
        <v>1</v>
      </c>
      <c r="H22" s="14"/>
      <c r="I22" s="15"/>
    </row>
    <row r="23" spans="2:9" ht="15.75" thickBot="1" x14ac:dyDescent="0.3">
      <c r="B23" s="33">
        <v>5.3</v>
      </c>
      <c r="C23" s="42" t="s">
        <v>20</v>
      </c>
      <c r="D23" s="16"/>
      <c r="E23" s="16"/>
      <c r="F23" s="46" t="s">
        <v>2</v>
      </c>
      <c r="G23" s="42">
        <v>1</v>
      </c>
      <c r="H23" s="37"/>
      <c r="I23" s="41"/>
    </row>
    <row r="24" spans="2:9" ht="15.75" thickBot="1" x14ac:dyDescent="0.3">
      <c r="B24" s="18">
        <v>6</v>
      </c>
      <c r="C24" s="7" t="s">
        <v>21</v>
      </c>
      <c r="D24" s="7"/>
      <c r="E24" s="7"/>
      <c r="F24" s="22"/>
      <c r="G24" s="7"/>
      <c r="H24" s="7"/>
      <c r="I24" s="8"/>
    </row>
    <row r="25" spans="2:9" ht="15.75" thickBot="1" x14ac:dyDescent="0.3">
      <c r="B25" s="48">
        <v>6.1</v>
      </c>
      <c r="C25" s="43" t="s">
        <v>22</v>
      </c>
      <c r="D25" s="2"/>
      <c r="E25" s="2"/>
      <c r="F25" s="51" t="s">
        <v>2</v>
      </c>
      <c r="G25" s="43">
        <v>1</v>
      </c>
      <c r="H25" s="44"/>
      <c r="I25" s="26"/>
    </row>
    <row r="27" spans="2:9" ht="15.75" thickBot="1" x14ac:dyDescent="0.3"/>
    <row r="28" spans="2:9" ht="15.75" thickBot="1" x14ac:dyDescent="0.3">
      <c r="B28" s="23" t="s">
        <v>30</v>
      </c>
      <c r="C28" s="3"/>
      <c r="D28" s="3"/>
      <c r="E28" s="3"/>
      <c r="F28" s="3"/>
      <c r="G28" s="3"/>
      <c r="H28" s="1"/>
      <c r="I28" s="26">
        <f>SUM(I7:I27)</f>
        <v>0</v>
      </c>
    </row>
    <row r="29" spans="2:9" ht="15.75" thickBot="1" x14ac:dyDescent="0.3">
      <c r="B29" s="24" t="s">
        <v>10</v>
      </c>
      <c r="C29" s="13"/>
      <c r="D29" s="13"/>
      <c r="E29" s="13"/>
      <c r="F29" s="13"/>
      <c r="G29" s="13"/>
      <c r="H29" s="27">
        <v>0.15</v>
      </c>
      <c r="I29" s="26">
        <f>(I28*15)/100</f>
        <v>0</v>
      </c>
    </row>
    <row r="30" spans="2:9" ht="15.75" thickBot="1" x14ac:dyDescent="0.3">
      <c r="B30" s="24" t="s">
        <v>13</v>
      </c>
      <c r="C30" s="13"/>
      <c r="D30" s="13"/>
      <c r="E30" s="13"/>
      <c r="F30" s="13"/>
      <c r="G30" s="13"/>
      <c r="H30" s="27">
        <v>0.1</v>
      </c>
      <c r="I30" s="26">
        <f>(I28*10)/100</f>
        <v>0</v>
      </c>
    </row>
    <row r="31" spans="2:9" ht="15.75" thickBot="1" x14ac:dyDescent="0.3">
      <c r="B31" s="24" t="s">
        <v>12</v>
      </c>
      <c r="C31" s="13"/>
      <c r="D31" s="13"/>
      <c r="E31" s="13"/>
      <c r="F31" s="13"/>
      <c r="G31" s="13"/>
      <c r="H31" s="1"/>
      <c r="I31" s="28">
        <f>SUM(I28:I30)</f>
        <v>0</v>
      </c>
    </row>
    <row r="32" spans="2:9" ht="15.75" thickBot="1" x14ac:dyDescent="0.3">
      <c r="B32" s="24" t="s">
        <v>11</v>
      </c>
      <c r="C32" s="13"/>
      <c r="D32" s="13"/>
      <c r="E32" s="13"/>
      <c r="G32" s="13"/>
      <c r="H32" s="27">
        <v>0.19</v>
      </c>
      <c r="I32" s="26">
        <f>(I31*19)/100</f>
        <v>0</v>
      </c>
    </row>
    <row r="33" spans="2:9" ht="15.75" thickBot="1" x14ac:dyDescent="0.3">
      <c r="B33" s="25" t="s">
        <v>29</v>
      </c>
      <c r="C33" s="16"/>
      <c r="D33" s="16"/>
      <c r="E33" s="16"/>
      <c r="F33" s="16"/>
      <c r="G33" s="16"/>
      <c r="H33" s="25"/>
      <c r="I33" s="29">
        <f>SUM(I31:I32)</f>
        <v>0</v>
      </c>
    </row>
  </sheetData>
  <pageMargins left="0.7" right="0.7" top="0.75" bottom="0.75" header="0.3" footer="0.3"/>
  <pageSetup scale="9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Calderon</dc:creator>
  <cp:lastModifiedBy>Idelva Espindola</cp:lastModifiedBy>
  <cp:lastPrinted>2026-06-23T22:32:41Z</cp:lastPrinted>
  <dcterms:created xsi:type="dcterms:W3CDTF">2025-10-27T17:53:27Z</dcterms:created>
  <dcterms:modified xsi:type="dcterms:W3CDTF">2026-07-01T15:56:30Z</dcterms:modified>
</cp:coreProperties>
</file>