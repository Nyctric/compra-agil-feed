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m\Desktop\INFORMACION\REQUERIMIENTOS\PASMI\"/>
    </mc:Choice>
  </mc:AlternateContent>
  <xr:revisionPtr revIDLastSave="0" documentId="13_ncr:1_{711E0B01-8C7E-4333-9127-6F29CE8E7C30}" xr6:coauthVersionLast="47" xr6:coauthVersionMax="47" xr10:uidLastSave="{00000000-0000-0000-0000-000000000000}"/>
  <bookViews>
    <workbookView xWindow="-120" yWindow="-120" windowWidth="29040" windowHeight="15720" xr2:uid="{3F831B1A-5F1C-4C32-BBB0-13792F1BD4AF}"/>
  </bookViews>
  <sheets>
    <sheet name="JUEGOS" sheetId="2" r:id="rId1"/>
    <sheet name="DEPTO. SALUD" sheetId="6" state="hidden" r:id="rId2"/>
    <sheet name="Hoja1" sheetId="5" state="hidden" r:id="rId3"/>
    <sheet name="KINE" sheetId="3" state="hidden" r:id="rId4"/>
  </sheets>
  <definedNames>
    <definedName name="__" localSheetId="2">Hoja1!#REF!</definedName>
    <definedName name="_xlnm._FilterDatabase" localSheetId="0" hidden="1">JUEGOS!$A$1:$E$1</definedName>
    <definedName name="Arena_Mágica_1_Kilo_Con_Moldes_Y_Piscina" localSheetId="2">Hoja1!#REF!</definedName>
    <definedName name="burbujas_" localSheetId="2">Hoja1!#REF!</definedName>
    <definedName name="Columpio_Sensorial_Acolchado_Resistente_" localSheetId="2">Hoja1!$B$4</definedName>
    <definedName name="Conectores_Estrellitas_Multiencaje_Juego" localSheetId="2">Hoja1!#REF!</definedName>
    <definedName name="Encaje_De_Figuras_Con_Patrones_Montessor" localSheetId="2">Hoja1!#REF!</definedName>
    <definedName name="Fantasma_Blitz__" localSheetId="2">Hoja1!#REF!</definedName>
    <definedName name="Geoplano__" localSheetId="2">Hoja1!#REF!</definedName>
    <definedName name="IQ_Puzzler_Pro__" localSheetId="2">Hoja1!$B$19</definedName>
    <definedName name="Juego_De_Concentración_Reacción_Infantil" localSheetId="2">Hoja1!#REF!</definedName>
    <definedName name="Juguete_de_agarre_de_pinzas_" localSheetId="2">Hoja1!#REF!</definedName>
    <definedName name="Juguete_Giratorio_Torre_Arcoiris_Montess" localSheetId="2">Hoja1!#REF!</definedName>
    <definedName name="Juguete_Interactivo_De_Habilidad_Motora_" localSheetId="2">Hoja1!#REF!</definedName>
    <definedName name="LEGO__" localSheetId="2">Hoja1!#REF!</definedName>
    <definedName name="Molde_de_manos_y_pie_de_silicona_" localSheetId="2">Hoja1!#REF!</definedName>
    <definedName name="Pictionary_Juego_De_Mesa_" localSheetId="2">Hoja1!#REF!</definedName>
    <definedName name="pizarra_" localSheetId="2">Hoja1!#REF!</definedName>
    <definedName name="Set_Juguete_Corte_Frutas_Verduras_" localSheetId="2">Hoja1!#REF!</definedName>
    <definedName name="Set_Puzzle_Madera_Animales_Marinos_Didác" localSheetId="2">Hoja1!#REF!</definedName>
    <definedName name="Set_Tabla_Encaje_Didáctico_Madera_Letras" localSheetId="2">Hoja1!#REF!</definedName>
    <definedName name="Suspend__" localSheetId="2">Hoja1!#REF!</definedName>
    <definedName name="Temporizador_visual_Time_Timer_" localSheetId="2">Hoja1!#REF!</definedName>
    <definedName name="Trampolin_Plegable_100_Cm_Fitness_Jumpin" localSheetId="2">Hoja1!#REF!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7" i="6" l="1"/>
  <c r="L53" i="6"/>
  <c r="G5" i="6"/>
  <c r="G12" i="6"/>
  <c r="G14" i="6"/>
  <c r="G17" i="6"/>
  <c r="G21" i="6"/>
  <c r="G24" i="6"/>
  <c r="G26" i="6"/>
  <c r="G27" i="6"/>
  <c r="G28" i="6"/>
  <c r="G29" i="6"/>
  <c r="G30" i="6"/>
  <c r="G31" i="6"/>
  <c r="G32" i="6"/>
  <c r="G33" i="6"/>
  <c r="E50" i="5"/>
</calcChain>
</file>

<file path=xl/sharedStrings.xml><?xml version="1.0" encoding="utf-8"?>
<sst xmlns="http://schemas.openxmlformats.org/spreadsheetml/2006/main" count="310" uniqueCount="134">
  <si>
    <r>
      <t>1.</t>
    </r>
    <r>
      <rPr>
        <b/>
        <sz val="7"/>
        <color theme="1"/>
        <rFont val="Aptos Narrow"/>
        <family val="2"/>
      </rPr>
      <t xml:space="preserve">       </t>
    </r>
    <r>
      <rPr>
        <b/>
        <sz val="11"/>
        <color theme="1"/>
        <rFont val="Aptos Narrow"/>
        <family val="2"/>
      </rPr>
      <t xml:space="preserve">Profesional responsable: </t>
    </r>
    <r>
      <rPr>
        <sz val="11"/>
        <color theme="1"/>
        <rFont val="Aptos Narrow"/>
        <family val="2"/>
      </rPr>
      <t>Edgardo Fonseca Escalona</t>
    </r>
  </si>
  <si>
    <t xml:space="preserve">CANTIDAD </t>
  </si>
  <si>
    <t>DESCRIPCIÓN</t>
  </si>
  <si>
    <t>Presupuesto actividades</t>
  </si>
  <si>
    <t>Valor neto unitario</t>
  </si>
  <si>
    <t>valor total</t>
  </si>
  <si>
    <r>
      <t>2.</t>
    </r>
    <r>
      <rPr>
        <b/>
        <sz val="7"/>
        <color theme="1"/>
        <rFont val="Aptos Narrow"/>
        <family val="2"/>
      </rPr>
      <t xml:space="preserve">       </t>
    </r>
    <r>
      <rPr>
        <b/>
        <sz val="11"/>
        <color theme="1"/>
        <rFont val="Aptos Narrow"/>
        <family val="2"/>
      </rPr>
      <t xml:space="preserve">Profesional responsable: </t>
    </r>
    <r>
      <rPr>
        <sz val="11"/>
        <color theme="1"/>
        <rFont val="Aptos Narrow"/>
        <family val="2"/>
      </rPr>
      <t>Joaquin Rivera  Orellana</t>
    </r>
  </si>
  <si>
    <r>
      <t>4.</t>
    </r>
    <r>
      <rPr>
        <b/>
        <sz val="7"/>
        <color theme="1"/>
        <rFont val="Aptos Narrow"/>
        <family val="2"/>
      </rPr>
      <t xml:space="preserve">       </t>
    </r>
    <r>
      <rPr>
        <b/>
        <sz val="11"/>
        <color theme="1"/>
        <rFont val="Aptos Narrow"/>
        <family val="2"/>
      </rPr>
      <t xml:space="preserve">Profesional responsable: </t>
    </r>
    <r>
      <rPr>
        <sz val="11"/>
        <color theme="1"/>
        <rFont val="Aptos Narrow"/>
        <family val="2"/>
      </rPr>
      <t>Terapeuta Ocupacional</t>
    </r>
  </si>
  <si>
    <t>Mesa cuadrada kínder</t>
  </si>
  <si>
    <t>Silla kínder estándar</t>
  </si>
  <si>
    <t>Espejo irrompible</t>
  </si>
  <si>
    <t>Estantería librero</t>
  </si>
  <si>
    <t>Alfombra goma eva (tatami)</t>
  </si>
  <si>
    <t>Juego lectura inicial</t>
  </si>
  <si>
    <t>Set Silaba Inicial</t>
  </si>
  <si>
    <t>Tarjetas Categorías Semánticas</t>
  </si>
  <si>
    <t>Set Clasificación Y Actividades Transporte</t>
  </si>
  <si>
    <t>Laminas Borrables El Intruso</t>
  </si>
  <si>
    <t>Set Granja</t>
  </si>
  <si>
    <t>Set Selva</t>
  </si>
  <si>
    <t>Libro Texturas</t>
  </si>
  <si>
    <t>encaje y enhebrado con patrones</t>
  </si>
  <si>
    <t>juego bloques construcción magnético</t>
  </si>
  <si>
    <t>pelota regulación</t>
  </si>
  <si>
    <t>Auricular protector de oídos</t>
  </si>
  <si>
    <t>Set de SPINNERS RELAJANTES</t>
  </si>
  <si>
    <t>Fidget Cubo Antiestrés</t>
  </si>
  <si>
    <t>Tubo sensorial relajante auditivo sonido lluvia</t>
  </si>
  <si>
    <t>Juguete sensorial alivio stress y ansiedad tamaño medio</t>
  </si>
  <si>
    <t>IMADOTS Amarillo</t>
  </si>
  <si>
    <t>Set de Pelotas con Texturas</t>
  </si>
  <si>
    <t>Dado de las emociones</t>
  </si>
  <si>
    <t>Goniómetro + escala visual análoga</t>
  </si>
  <si>
    <t>Puzzle gel sensorial</t>
  </si>
  <si>
    <r>
      <t>3.</t>
    </r>
    <r>
      <rPr>
        <b/>
        <sz val="7"/>
        <color theme="1"/>
        <rFont val="Aptos Narrow"/>
        <family val="2"/>
      </rPr>
      <t xml:space="preserve">       </t>
    </r>
    <r>
      <rPr>
        <b/>
        <sz val="11"/>
        <color theme="1"/>
        <rFont val="Aptos Narrow"/>
        <family val="2"/>
      </rPr>
      <t>Profesional responsable: Alexander Valdebenito</t>
    </r>
  </si>
  <si>
    <t>Set Sensorial Antiestrés Relajación Tdah Tea</t>
  </si>
  <si>
    <t>Kit Obstáculos Infantil Psicomotriz Estimulación Sensorial</t>
  </si>
  <si>
    <t>11 piezas De Juego De Anillas De Entrenamiento Duraderas</t>
  </si>
  <si>
    <t>Escalera De Agilidad De Fútbol, Escalera</t>
  </si>
  <si>
    <t>Mini Bicicleta Estática Plegable Con Pantalla LCD Para Rehabilitación y Ejercicio En Casa</t>
  </si>
  <si>
    <t>Balón Bosu Con Manillas Entrenamiento Funcional 46 Cm Azul</t>
  </si>
  <si>
    <t>Disco De Balance Equilibrio Mini Bosu Erizo Yoga</t>
  </si>
  <si>
    <t>0pcs Juego Didáctico Sensorial Bebé Estimulación Temprana</t>
  </si>
  <si>
    <t>Nuevo Juguete Sensorial Y Bn Fl Para Niños OcupadosPrincipio del formulario</t>
  </si>
  <si>
    <t>Tablero Ocupado Para Niños, Tablero Sensorial</t>
  </si>
  <si>
    <t>Mesa Escritorio Aprendizaje Mesa Niños Y Niñas Diseño</t>
  </si>
  <si>
    <t>Juego Dominó Chancho Doble 12 Con Caja Metálica 91 Piezas</t>
  </si>
  <si>
    <t>Tren Juguete Domino Para Construir Y Apilar 40 Bloques</t>
  </si>
  <si>
    <t>Juguete De Madera Dominó Grande Montessori</t>
  </si>
  <si>
    <t>Juguete Bloques Madera Efecto Dominó Diversión</t>
  </si>
  <si>
    <t>Ajedrez 3 en 1 de Madera Rozenberg con Damas y Backgammon Plegable</t>
  </si>
  <si>
    <t>Pack 4 Pelotas Para Masajes De Erizo Sensorial 9 Cm Al Aza</t>
  </si>
  <si>
    <t>Anillos De Agilidad Multifuncionales Para Ejercicio Con 10 X</t>
  </si>
  <si>
    <t>Loki Set 18 Pelotas Ping Pong Pro 3 Estrellas Abs 40+ Color Naranja</t>
  </si>
  <si>
    <t>25 pelotas De Tenis De Mesa De Colores, Pelotas De Ping Pong</t>
  </si>
  <si>
    <t>Pelota De Padel Head Pro Tarro 3 Unidades</t>
  </si>
  <si>
    <r>
      <t>4.</t>
    </r>
    <r>
      <rPr>
        <b/>
        <sz val="7"/>
        <color theme="1"/>
        <rFont val="Aptos Narrow"/>
        <family val="2"/>
      </rPr>
      <t xml:space="preserve">       </t>
    </r>
    <r>
      <rPr>
        <b/>
        <sz val="11"/>
        <color theme="1"/>
        <rFont val="Aptos Narrow"/>
        <family val="2"/>
      </rPr>
      <t xml:space="preserve">Profesional responsable: </t>
    </r>
    <r>
      <rPr>
        <sz val="11"/>
        <color theme="1"/>
        <rFont val="Aptos Narrow"/>
        <family val="2"/>
      </rPr>
      <t>Rodrigo Molina</t>
    </r>
  </si>
  <si>
    <t>Alfombra antigolpes reversible diseño infantil 180x200 cm</t>
  </si>
  <si>
    <t xml:space="preserve">Masas y Plastilinas Pack de 18 </t>
  </si>
  <si>
    <t>Juego Descubriendo mis emociones</t>
  </si>
  <si>
    <t>Marioneta o títere de animales diferentes</t>
  </si>
  <si>
    <t xml:space="preserve">Cojín forma de león </t>
  </si>
  <si>
    <t>Títeres infantiles para dedos animales, pack 10 unidades</t>
  </si>
  <si>
    <t>Caja organizadora decorada con animales 33X33X33 cm</t>
  </si>
  <si>
    <t>Columpio</t>
  </si>
  <si>
    <t>Trampolin</t>
  </si>
  <si>
    <t>Fantasma Blitz</t>
  </si>
  <si>
    <t>LEGO</t>
  </si>
  <si>
    <t>Geoplano</t>
  </si>
  <si>
    <t>Calcetín Sensorial (Body Sock)</t>
  </si>
  <si>
    <t>Pulgas locas</t>
  </si>
  <si>
    <t>Rompecabezas 3D de Madera para Niños: Animales, 9 Piezas</t>
  </si>
  <si>
    <t>Juego De Concentración Reacción Infantil Pulpo Con Control</t>
  </si>
  <si>
    <t>Set Puzzle Madera Animales Marinos Didáctico Montessori</t>
  </si>
  <si>
    <t>Juego Pesca + 4 Torres Encastre Madera Didactico Iman Peces Color Multicolor</t>
  </si>
  <si>
    <t>Conectores Estrellitas Multiencaje Juego Para Niños</t>
  </si>
  <si>
    <t>Set Juguete Corte Frutas Verduras</t>
  </si>
  <si>
    <t>Que soy</t>
  </si>
  <si>
    <t>Pictionary Juego De Mesa</t>
  </si>
  <si>
    <t>IQ Puzzler Pro</t>
  </si>
  <si>
    <t>Destreza juego de mesa</t>
  </si>
  <si>
    <t>9. Tangram Magnético</t>
  </si>
  <si>
    <t>Rory's Story Cubes</t>
  </si>
  <si>
    <t>4. Animal Upon Animal</t>
  </si>
  <si>
    <t>Suspend</t>
  </si>
  <si>
    <t>Rompecabezas 12, 24 y 30</t>
  </si>
  <si>
    <t>Juguete Giratorio Torre Arcoiris Montessori</t>
  </si>
  <si>
    <t>Encaje De Figuras Con Patrones Montessori</t>
  </si>
  <si>
    <t>bandejas con separaciones sensoriales</t>
  </si>
  <si>
    <t>Hamaca Terapéutica</t>
  </si>
  <si>
    <t>Yoga para Niños (cartas de posturas)</t>
  </si>
  <si>
    <t>Bloques Magnéticos</t>
  </si>
  <si>
    <t>Tubos Sensoriales</t>
  </si>
  <si>
    <t>Balón Ovalo (mani)</t>
  </si>
  <si>
    <t>Juego de lanzar aros de base de madera</t>
  </si>
  <si>
    <t>Arena Mágica 1 Kilo Con Moldes Y Piscina Inﬂable Para Niños</t>
  </si>
  <si>
    <t>Monopoly Junior</t>
  </si>
  <si>
    <t>Lince</t>
  </si>
  <si>
    <t>Conecta 4</t>
  </si>
  <si>
    <t>Operando</t>
  </si>
  <si>
    <t>Memorice</t>
  </si>
  <si>
    <t>Juguete Interactivo De Habilidad Motora Cubo Montessori</t>
  </si>
  <si>
    <t>Molde de manos y pie de silicona</t>
  </si>
  <si>
    <t>burbujas</t>
  </si>
  <si>
    <t>Set Tabla Encaje Didáctico Madera Letras + Numeros</t>
  </si>
  <si>
    <t>Juguete de agarre de pinzas</t>
  </si>
  <si>
    <t>Temporizador visual Time Timer</t>
  </si>
  <si>
    <t>Convenio: PASMI</t>
  </si>
  <si>
    <t>DESCRIPCIÓN DE SOLICITUD DE MATERIALES E IMPLEMENTACIÓN</t>
  </si>
  <si>
    <t>Nombre de Material o Implemento a solicitar</t>
  </si>
  <si>
    <t>Cantidad</t>
  </si>
  <si>
    <t>Foto o Imagen Referencial</t>
  </si>
  <si>
    <t>Valor Referencial</t>
  </si>
  <si>
    <t>VALOR TOTAL</t>
  </si>
  <si>
    <t>MASAS PLAY-DOH KITCHEN CREATIONS HAMBURGUES A PARRILLA</t>
  </si>
  <si>
    <t>Columpio sensorial</t>
  </si>
  <si>
    <t>Trampolin Plegable 100</t>
  </si>
  <si>
    <t>Kit/set Sensorial Antiestrés Relajación Tdah Tea</t>
  </si>
  <si>
    <t>11 Piezas De Juego De Anillas De Entrenamiento Duraderas</t>
  </si>
  <si>
    <t>25 Pelotas De Tenis De Mesa De Colores, Pelotas De Ping Pong</t>
  </si>
  <si>
    <t>Fidget Spinners, de colores.</t>
  </si>
  <si>
    <t>Boca/arcada de peluche con dientes/muelas, bacterias, cepillo y pasta, medidas mínimas: 20 cm largo x 20 cm ancho</t>
  </si>
  <si>
    <t>Peluches dentales suaves, educativos de tamaño mediano, mínimo 20 cm de alto x 9 cm de ancho c/u, formas: Pasta Dental, Cepillo Dental, Seda Dental y Turbina Dental</t>
  </si>
  <si>
    <t>4 (1 de cada uno)</t>
  </si>
  <si>
    <t>Audifonos de cancelacion de ruido con protección SNR de 27 db/NRR 22db con espuma gruesa acolchada libre de PVC y diseño infantil</t>
  </si>
  <si>
    <t>Tablet infantil mayor o igual a 10 pulgadas, android minímo 32 GB de almacenamiento, RAM 2 GB mínimo, con funda protectora infantil antigolpes, pantalla HD, batería minimo 6,000 mAh y conectibidad Wifi y Bluetooth, procesador QuadCore de 16 GHz. Diseño infantil. Garantía mínima 1 año con cargador incluido</t>
  </si>
  <si>
    <t>Pop it, antiestrés, material siliconado, libre de BPA, colores surtidos, pack de 6 unidades de formas variadas (animales, formas geométricas)</t>
  </si>
  <si>
    <t>Cubo Rubik, 8x8 cm, de plástico duro, genérico, multicolor</t>
  </si>
  <si>
    <t>Gafas infantiles con orejas, formas divertidas y variadas (1 lente de cada uno, sin repetición), se sugieren de dibujos animados: minnie, stitch, cars, pepa pig, barbie, iron man, dinosaurios, mickey, hello kitty, etc.</t>
  </si>
  <si>
    <t>Kits dental de juguete color unisex, material plástico o madera, incluye todos los accesorios necesarios para jugar al dentista, tamaño mediano o grande (mínimo 10x10x10 cm), incluye bolsa para guardar.</t>
  </si>
  <si>
    <t>Set Cubos Bloques Gigantes Blandos 12 Piezas</t>
  </si>
  <si>
    <t>Set Bloques Construcción Gigantes 45 Piezas</t>
  </si>
  <si>
    <t>Cojín Sensorial Redondo para Psicomotricidad</t>
  </si>
  <si>
    <t>Domyos Mat Gimnasia Niños Playmat Plegable Reversible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</si>
</sst>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7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41">
    <xf numFmtId="0" fontId="0" fillId="0" borderId="0" xfId="0"/>
    <xf numFmtId="0" fontId="4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4" fillId="2" borderId="4" xfId="0" applyFont="1" applyFill="1" applyBorder="1" applyAlignment="1">
      <alignment horizontal="center" vertical="center" wrapText="1"/>
    </xf>
    <xf numFmtId="42" fontId="4" fillId="2" borderId="5" xfId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/>
    <xf numFmtId="0" fontId="3" fillId="2" borderId="1" xfId="0" applyFont="1" applyFill="1" applyBorder="1" applyAlignment="1">
      <alignment horizontal="justify" vertical="center" wrapText="1"/>
    </xf>
    <xf numFmtId="42" fontId="3" fillId="2" borderId="5" xfId="1" applyFont="1" applyFill="1" applyBorder="1" applyAlignment="1">
      <alignment horizontal="center" vertical="center" wrapText="1"/>
    </xf>
    <xf numFmtId="0" fontId="3" fillId="2" borderId="6" xfId="0" applyFont="1" applyFill="1" applyBorder="1"/>
    <xf numFmtId="0" fontId="3" fillId="2" borderId="7" xfId="0" applyFont="1" applyFill="1" applyBorder="1"/>
    <xf numFmtId="0" fontId="3" fillId="2" borderId="3" xfId="0" applyFont="1" applyFill="1" applyBorder="1"/>
    <xf numFmtId="0" fontId="3" fillId="2" borderId="7" xfId="0" applyFont="1" applyFill="1" applyBorder="1" applyAlignment="1">
      <alignment horizontal="left"/>
    </xf>
    <xf numFmtId="0" fontId="3" fillId="2" borderId="8" xfId="0" applyFont="1" applyFill="1" applyBorder="1"/>
    <xf numFmtId="0" fontId="3" fillId="2" borderId="5" xfId="0" applyFont="1" applyFill="1" applyBorder="1" applyAlignment="1">
      <alignment horizontal="justify" vertical="center" wrapText="1"/>
    </xf>
    <xf numFmtId="0" fontId="3" fillId="2" borderId="5" xfId="0" applyFont="1" applyFill="1" applyBorder="1" applyAlignment="1">
      <alignment horizontal="left"/>
    </xf>
    <xf numFmtId="42" fontId="3" fillId="2" borderId="5" xfId="1" applyFont="1" applyFill="1" applyBorder="1"/>
    <xf numFmtId="0" fontId="3" fillId="2" borderId="4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justify" vertical="center" wrapText="1"/>
    </xf>
    <xf numFmtId="42" fontId="3" fillId="2" borderId="4" xfId="1" applyFont="1" applyFill="1" applyBorder="1" applyAlignment="1">
      <alignment horizontal="center" vertical="center" wrapText="1"/>
    </xf>
    <xf numFmtId="42" fontId="4" fillId="2" borderId="6" xfId="1" applyFont="1" applyFill="1" applyBorder="1" applyAlignment="1">
      <alignment horizontal="center" vertical="center" wrapText="1"/>
    </xf>
    <xf numFmtId="42" fontId="4" fillId="2" borderId="7" xfId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42" fontId="3" fillId="2" borderId="5" xfId="1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/>
    </xf>
    <xf numFmtId="0" fontId="3" fillId="2" borderId="9" xfId="0" applyFont="1" applyFill="1" applyBorder="1"/>
    <xf numFmtId="42" fontId="3" fillId="2" borderId="9" xfId="1" applyFont="1" applyFill="1" applyBorder="1"/>
    <xf numFmtId="0" fontId="3" fillId="2" borderId="10" xfId="0" applyFont="1" applyFill="1" applyBorder="1"/>
    <xf numFmtId="0" fontId="3" fillId="2" borderId="4" xfId="0" applyFont="1" applyFill="1" applyBorder="1" applyAlignment="1">
      <alignment horizontal="justify" vertical="center" wrapText="1"/>
    </xf>
    <xf numFmtId="42" fontId="0" fillId="0" borderId="0" xfId="1" applyFont="1"/>
    <xf numFmtId="42" fontId="0" fillId="0" borderId="0" xfId="0" applyNumberFormat="1"/>
    <xf numFmtId="42" fontId="3" fillId="2" borderId="5" xfId="1" applyFont="1" applyFill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27C12-51AC-431F-8B42-726287AD0652}">
  <dimension ref="A1:E88"/>
  <sheetViews>
    <sheetView tabSelected="1" workbookViewId="0">
      <pane ySplit="1" topLeftCell="A2" activePane="bottomLeft" state="frozen"/>
      <selection pane="bottomLeft" activeCell="C20" sqref="C20"/>
    </sheetView>
  </sheetViews>
  <sheetFormatPr baseColWidth="10" defaultRowHeight="15" x14ac:dyDescent="0.25"/>
  <cols>
    <col min="3" max="3" width="80.140625" bestFit="1" customWidth="1"/>
  </cols>
  <sheetData>
    <row r="1" spans="1:5" ht="30" x14ac:dyDescent="0.25">
      <c r="A1" s="1" t="s">
        <v>1</v>
      </c>
      <c r="B1" s="2"/>
      <c r="C1" s="2" t="s">
        <v>2</v>
      </c>
      <c r="D1" s="4" t="s">
        <v>4</v>
      </c>
      <c r="E1" s="4" t="s">
        <v>5</v>
      </c>
    </row>
    <row r="2" spans="1:5" x14ac:dyDescent="0.25">
      <c r="A2" s="5">
        <v>1</v>
      </c>
      <c r="B2" s="6"/>
      <c r="C2" s="7" t="s">
        <v>21</v>
      </c>
      <c r="D2" s="6"/>
      <c r="E2" s="6"/>
    </row>
    <row r="3" spans="1:5" x14ac:dyDescent="0.25">
      <c r="A3" s="5">
        <v>1</v>
      </c>
      <c r="B3" s="6"/>
      <c r="C3" s="7" t="s">
        <v>22</v>
      </c>
      <c r="D3" s="6"/>
      <c r="E3" s="6"/>
    </row>
    <row r="4" spans="1:5" x14ac:dyDescent="0.25">
      <c r="A4" s="5">
        <v>1</v>
      </c>
      <c r="B4" s="6"/>
      <c r="C4" s="7" t="s">
        <v>23</v>
      </c>
      <c r="D4" s="6"/>
      <c r="E4" s="6"/>
    </row>
    <row r="5" spans="1:5" x14ac:dyDescent="0.25">
      <c r="A5" s="22">
        <v>1</v>
      </c>
      <c r="B5" s="22"/>
      <c r="C5" s="33" t="s">
        <v>24</v>
      </c>
      <c r="D5" s="24"/>
      <c r="E5" s="24"/>
    </row>
    <row r="6" spans="1:5" x14ac:dyDescent="0.25">
      <c r="A6" s="22">
        <v>1</v>
      </c>
      <c r="B6" s="22"/>
      <c r="C6" s="33" t="s">
        <v>25</v>
      </c>
      <c r="D6" s="24"/>
      <c r="E6" s="24"/>
    </row>
    <row r="7" spans="1:5" x14ac:dyDescent="0.25">
      <c r="A7" s="22">
        <v>1</v>
      </c>
      <c r="B7" s="22"/>
      <c r="C7" s="33" t="s">
        <v>26</v>
      </c>
      <c r="D7" s="24"/>
      <c r="E7" s="24"/>
    </row>
    <row r="8" spans="1:5" x14ac:dyDescent="0.25">
      <c r="A8" s="22">
        <v>1</v>
      </c>
      <c r="B8" s="22"/>
      <c r="C8" s="22" t="s">
        <v>27</v>
      </c>
      <c r="D8" s="24"/>
      <c r="E8" s="24"/>
    </row>
    <row r="9" spans="1:5" x14ac:dyDescent="0.25">
      <c r="A9" s="22">
        <v>1</v>
      </c>
      <c r="B9" s="22"/>
      <c r="C9" s="22" t="s">
        <v>28</v>
      </c>
      <c r="D9" s="24"/>
      <c r="E9" s="24"/>
    </row>
    <row r="10" spans="1:5" x14ac:dyDescent="0.25">
      <c r="A10" s="22">
        <v>1</v>
      </c>
      <c r="B10" s="22"/>
      <c r="C10" s="22" t="s">
        <v>29</v>
      </c>
      <c r="D10" s="24"/>
      <c r="E10" s="24"/>
    </row>
    <row r="11" spans="1:5" x14ac:dyDescent="0.25">
      <c r="A11" s="22">
        <v>1</v>
      </c>
      <c r="B11" s="22"/>
      <c r="C11" s="22" t="s">
        <v>30</v>
      </c>
      <c r="D11" s="24"/>
      <c r="E11" s="24"/>
    </row>
    <row r="12" spans="1:5" x14ac:dyDescent="0.25">
      <c r="A12" s="22">
        <v>1</v>
      </c>
      <c r="B12" s="22"/>
      <c r="C12" s="22" t="s">
        <v>31</v>
      </c>
      <c r="D12" s="24"/>
      <c r="E12" s="24"/>
    </row>
    <row r="13" spans="1:5" x14ac:dyDescent="0.25">
      <c r="A13" s="5">
        <v>1</v>
      </c>
      <c r="B13" s="6"/>
      <c r="C13" s="14" t="s">
        <v>32</v>
      </c>
      <c r="D13" s="6"/>
      <c r="E13" s="6"/>
    </row>
    <row r="14" spans="1:5" x14ac:dyDescent="0.25">
      <c r="A14" s="15">
        <v>1</v>
      </c>
      <c r="B14" s="6"/>
      <c r="C14" s="14" t="s">
        <v>33</v>
      </c>
      <c r="D14" s="6"/>
      <c r="E14" s="6"/>
    </row>
    <row r="15" spans="1:5" x14ac:dyDescent="0.25">
      <c r="A15" s="22">
        <v>1</v>
      </c>
      <c r="B15" s="22"/>
      <c r="C15" s="22" t="s">
        <v>57</v>
      </c>
      <c r="D15" s="24"/>
      <c r="E15" s="24"/>
    </row>
    <row r="16" spans="1:5" x14ac:dyDescent="0.25">
      <c r="A16" s="22">
        <v>3</v>
      </c>
      <c r="B16" s="22"/>
      <c r="C16" s="22" t="s">
        <v>58</v>
      </c>
      <c r="D16" s="24"/>
      <c r="E16" s="24"/>
    </row>
    <row r="17" spans="1:5" x14ac:dyDescent="0.25">
      <c r="A17" s="22">
        <v>5</v>
      </c>
      <c r="B17" s="22"/>
      <c r="C17" s="22" t="s">
        <v>60</v>
      </c>
      <c r="D17" s="24"/>
      <c r="E17" s="24"/>
    </row>
    <row r="18" spans="1:5" x14ac:dyDescent="0.25">
      <c r="A18" s="15">
        <v>2</v>
      </c>
      <c r="B18" s="6"/>
      <c r="C18" s="6" t="s">
        <v>61</v>
      </c>
      <c r="D18" s="6"/>
      <c r="E18" s="6"/>
    </row>
    <row r="19" spans="1:5" x14ac:dyDescent="0.25">
      <c r="A19" s="15">
        <v>6</v>
      </c>
      <c r="B19" s="6"/>
      <c r="C19" s="6" t="s">
        <v>62</v>
      </c>
      <c r="D19" s="6"/>
      <c r="E19" s="6"/>
    </row>
    <row r="20" spans="1:5" x14ac:dyDescent="0.25">
      <c r="A20" s="15">
        <v>1</v>
      </c>
      <c r="B20" s="6"/>
      <c r="C20" s="6" t="s">
        <v>63</v>
      </c>
      <c r="D20" s="6"/>
      <c r="E20" s="6"/>
    </row>
    <row r="21" spans="1:5" x14ac:dyDescent="0.25">
      <c r="A21" s="17">
        <v>1</v>
      </c>
      <c r="B21" s="29"/>
      <c r="C21" s="29" t="s">
        <v>64</v>
      </c>
      <c r="D21" s="4"/>
      <c r="E21" s="4"/>
    </row>
    <row r="22" spans="1:5" x14ac:dyDescent="0.25">
      <c r="A22" s="17">
        <v>1</v>
      </c>
      <c r="B22" s="29"/>
      <c r="C22" s="29" t="s">
        <v>65</v>
      </c>
      <c r="D22" s="4"/>
      <c r="E22" s="4"/>
    </row>
    <row r="23" spans="1:5" x14ac:dyDescent="0.25">
      <c r="A23" s="17">
        <v>1</v>
      </c>
      <c r="B23" s="29"/>
      <c r="C23" s="29" t="s">
        <v>67</v>
      </c>
      <c r="D23" s="4"/>
      <c r="E23" s="4"/>
    </row>
    <row r="24" spans="1:5" x14ac:dyDescent="0.25">
      <c r="A24" s="17">
        <v>1</v>
      </c>
      <c r="B24" s="29"/>
      <c r="C24" s="29" t="s">
        <v>68</v>
      </c>
      <c r="D24" s="4"/>
      <c r="E24" s="4"/>
    </row>
    <row r="25" spans="1:5" x14ac:dyDescent="0.25">
      <c r="A25" s="17">
        <v>1</v>
      </c>
      <c r="B25" s="29"/>
      <c r="C25" s="29" t="s">
        <v>69</v>
      </c>
      <c r="D25" s="4"/>
      <c r="E25" s="4"/>
    </row>
    <row r="26" spans="1:5" x14ac:dyDescent="0.25">
      <c r="A26" s="17">
        <v>1</v>
      </c>
      <c r="B26" s="29"/>
      <c r="C26" s="29" t="s">
        <v>70</v>
      </c>
      <c r="D26" s="4"/>
      <c r="E26" s="4"/>
    </row>
    <row r="27" spans="1:5" x14ac:dyDescent="0.25">
      <c r="A27" s="17">
        <v>3</v>
      </c>
      <c r="B27" s="29"/>
      <c r="C27" s="29" t="s">
        <v>71</v>
      </c>
      <c r="D27" s="4"/>
      <c r="E27" s="4"/>
    </row>
    <row r="28" spans="1:5" x14ac:dyDescent="0.25">
      <c r="A28" s="17">
        <v>1</v>
      </c>
      <c r="B28" s="29"/>
      <c r="C28" s="29" t="s">
        <v>72</v>
      </c>
      <c r="D28" s="4"/>
      <c r="E28" s="4"/>
    </row>
    <row r="29" spans="1:5" x14ac:dyDescent="0.25">
      <c r="A29" s="17">
        <v>3</v>
      </c>
      <c r="B29" s="29"/>
      <c r="C29" s="29" t="s">
        <v>73</v>
      </c>
      <c r="D29" s="4"/>
      <c r="E29" s="4"/>
    </row>
    <row r="30" spans="1:5" x14ac:dyDescent="0.25">
      <c r="A30" s="17">
        <v>1</v>
      </c>
      <c r="B30" s="29"/>
      <c r="C30" s="29" t="s">
        <v>74</v>
      </c>
      <c r="D30" s="4"/>
      <c r="E30" s="4"/>
    </row>
    <row r="31" spans="1:5" x14ac:dyDescent="0.25">
      <c r="A31" s="17">
        <v>1</v>
      </c>
      <c r="B31" s="29"/>
      <c r="C31" s="29" t="s">
        <v>75</v>
      </c>
      <c r="D31" s="4"/>
      <c r="E31" s="4"/>
    </row>
    <row r="32" spans="1:5" x14ac:dyDescent="0.25">
      <c r="A32" s="17">
        <v>1</v>
      </c>
      <c r="B32" s="29"/>
      <c r="C32" s="29" t="s">
        <v>76</v>
      </c>
      <c r="D32" s="4"/>
      <c r="E32" s="4"/>
    </row>
    <row r="33" spans="1:5" x14ac:dyDescent="0.25">
      <c r="A33" s="17">
        <v>1</v>
      </c>
      <c r="B33" s="29"/>
      <c r="C33" s="29" t="s">
        <v>83</v>
      </c>
      <c r="D33" s="4"/>
      <c r="E33" s="4"/>
    </row>
    <row r="34" spans="1:5" x14ac:dyDescent="0.25">
      <c r="A34" s="17">
        <v>1</v>
      </c>
      <c r="B34" s="29"/>
      <c r="C34" s="29" t="s">
        <v>84</v>
      </c>
      <c r="D34" s="4"/>
      <c r="E34" s="4"/>
    </row>
    <row r="35" spans="1:5" x14ac:dyDescent="0.25">
      <c r="A35" s="17">
        <v>4</v>
      </c>
      <c r="B35" s="29"/>
      <c r="C35" s="29" t="s">
        <v>85</v>
      </c>
      <c r="D35" s="4"/>
      <c r="E35" s="4"/>
    </row>
    <row r="36" spans="1:5" x14ac:dyDescent="0.25">
      <c r="A36" s="17">
        <v>1</v>
      </c>
      <c r="B36" s="29"/>
      <c r="C36" s="29" t="s">
        <v>86</v>
      </c>
      <c r="D36" s="4"/>
      <c r="E36" s="4"/>
    </row>
    <row r="37" spans="1:5" x14ac:dyDescent="0.25">
      <c r="A37" s="17">
        <v>1</v>
      </c>
      <c r="B37" s="29"/>
      <c r="C37" s="29" t="s">
        <v>87</v>
      </c>
      <c r="D37" s="4"/>
      <c r="E37" s="4"/>
    </row>
    <row r="38" spans="1:5" x14ac:dyDescent="0.25">
      <c r="A38" s="17">
        <v>1</v>
      </c>
      <c r="B38" s="29"/>
      <c r="C38" s="29" t="s">
        <v>88</v>
      </c>
      <c r="D38" s="4"/>
      <c r="E38" s="4"/>
    </row>
    <row r="39" spans="1:5" x14ac:dyDescent="0.25">
      <c r="A39" s="17">
        <v>1</v>
      </c>
      <c r="B39" s="29"/>
      <c r="C39" s="29" t="s">
        <v>89</v>
      </c>
      <c r="D39" s="4"/>
      <c r="E39" s="4"/>
    </row>
    <row r="40" spans="1:5" x14ac:dyDescent="0.25">
      <c r="A40" s="17">
        <v>1</v>
      </c>
      <c r="B40" s="29"/>
      <c r="C40" s="29" t="s">
        <v>90</v>
      </c>
      <c r="D40" s="4"/>
      <c r="E40" s="4"/>
    </row>
    <row r="41" spans="1:5" x14ac:dyDescent="0.25">
      <c r="A41" s="17">
        <v>1</v>
      </c>
      <c r="B41" s="29"/>
      <c r="C41" s="29" t="s">
        <v>91</v>
      </c>
      <c r="D41" s="4"/>
      <c r="E41" s="4"/>
    </row>
    <row r="42" spans="1:5" x14ac:dyDescent="0.25">
      <c r="A42" s="17">
        <v>1</v>
      </c>
      <c r="B42" s="29"/>
      <c r="C42" s="29" t="s">
        <v>92</v>
      </c>
      <c r="D42" s="4"/>
      <c r="E42" s="4"/>
    </row>
    <row r="43" spans="1:5" x14ac:dyDescent="0.25">
      <c r="A43" s="17">
        <v>1</v>
      </c>
      <c r="B43" s="29"/>
      <c r="C43" s="29" t="s">
        <v>93</v>
      </c>
      <c r="D43" s="4"/>
      <c r="E43" s="4"/>
    </row>
    <row r="44" spans="1:5" x14ac:dyDescent="0.25">
      <c r="A44" s="17">
        <v>1</v>
      </c>
      <c r="B44" s="29"/>
      <c r="C44" s="29" t="s">
        <v>94</v>
      </c>
      <c r="D44" s="4"/>
      <c r="E44" s="4"/>
    </row>
    <row r="45" spans="1:5" x14ac:dyDescent="0.25">
      <c r="A45" s="17">
        <v>1</v>
      </c>
      <c r="B45" s="29"/>
      <c r="C45" s="29" t="s">
        <v>95</v>
      </c>
      <c r="D45" s="4"/>
      <c r="E45" s="4"/>
    </row>
    <row r="46" spans="1:5" x14ac:dyDescent="0.25">
      <c r="A46" s="17">
        <v>1</v>
      </c>
      <c r="B46" s="29"/>
      <c r="C46" s="29" t="s">
        <v>98</v>
      </c>
      <c r="D46" s="4"/>
      <c r="E46" s="4"/>
    </row>
    <row r="47" spans="1:5" x14ac:dyDescent="0.25">
      <c r="A47" s="17">
        <v>1</v>
      </c>
      <c r="B47" s="29"/>
      <c r="C47" s="29" t="s">
        <v>114</v>
      </c>
      <c r="D47" s="4"/>
      <c r="E47" s="4"/>
    </row>
    <row r="48" spans="1:5" x14ac:dyDescent="0.25">
      <c r="A48" s="17">
        <v>1</v>
      </c>
      <c r="B48" s="29"/>
      <c r="C48" s="29" t="s">
        <v>99</v>
      </c>
      <c r="D48" s="4"/>
      <c r="E48" s="4"/>
    </row>
    <row r="49" spans="1:5" x14ac:dyDescent="0.25">
      <c r="A49" s="17">
        <v>1</v>
      </c>
      <c r="B49" s="29"/>
      <c r="C49" s="29" t="s">
        <v>100</v>
      </c>
      <c r="D49" s="4"/>
      <c r="E49" s="4"/>
    </row>
    <row r="50" spans="1:5" x14ac:dyDescent="0.25">
      <c r="A50" s="17">
        <v>1</v>
      </c>
      <c r="B50" s="29"/>
      <c r="C50" s="29" t="s">
        <v>101</v>
      </c>
      <c r="D50" s="4"/>
      <c r="E50" s="4"/>
    </row>
    <row r="51" spans="1:5" x14ac:dyDescent="0.25">
      <c r="A51" s="17">
        <v>2</v>
      </c>
      <c r="B51" s="29"/>
      <c r="C51" s="29" t="s">
        <v>102</v>
      </c>
      <c r="D51" s="4"/>
      <c r="E51" s="4"/>
    </row>
    <row r="52" spans="1:5" x14ac:dyDescent="0.25">
      <c r="A52" s="17">
        <v>2</v>
      </c>
      <c r="B52" s="29"/>
      <c r="C52" s="29" t="s">
        <v>103</v>
      </c>
      <c r="D52" s="4"/>
      <c r="E52" s="4"/>
    </row>
    <row r="53" spans="1:5" x14ac:dyDescent="0.25">
      <c r="A53" s="17">
        <v>1</v>
      </c>
      <c r="B53" s="29"/>
      <c r="C53" s="29" t="s">
        <v>104</v>
      </c>
      <c r="D53" s="4"/>
      <c r="E53" s="4"/>
    </row>
    <row r="54" spans="1:5" x14ac:dyDescent="0.25">
      <c r="A54" s="17">
        <v>1</v>
      </c>
      <c r="B54" s="29"/>
      <c r="C54" s="29" t="s">
        <v>105</v>
      </c>
      <c r="D54" s="4"/>
      <c r="E54" s="4"/>
    </row>
    <row r="55" spans="1:5" x14ac:dyDescent="0.25">
      <c r="A55" s="17">
        <v>1</v>
      </c>
      <c r="B55" s="29"/>
      <c r="C55" s="29" t="s">
        <v>106</v>
      </c>
      <c r="D55" s="4"/>
      <c r="E55" s="4"/>
    </row>
    <row r="56" spans="1:5" x14ac:dyDescent="0.25">
      <c r="A56" s="5">
        <v>1</v>
      </c>
      <c r="B56" s="14"/>
      <c r="C56" s="29" t="s">
        <v>117</v>
      </c>
      <c r="D56" s="4"/>
      <c r="E56" s="4"/>
    </row>
    <row r="57" spans="1:5" x14ac:dyDescent="0.25">
      <c r="A57" s="5">
        <v>1</v>
      </c>
      <c r="B57" s="14"/>
      <c r="C57" s="29" t="s">
        <v>36</v>
      </c>
      <c r="D57" s="4"/>
      <c r="E57" s="4"/>
    </row>
    <row r="58" spans="1:5" x14ac:dyDescent="0.25">
      <c r="A58" s="5">
        <v>1</v>
      </c>
      <c r="B58" s="14"/>
      <c r="C58" s="29" t="s">
        <v>36</v>
      </c>
      <c r="D58" s="4"/>
      <c r="E58" s="4"/>
    </row>
    <row r="59" spans="1:5" x14ac:dyDescent="0.25">
      <c r="A59" s="5">
        <v>1</v>
      </c>
      <c r="B59" s="14"/>
      <c r="C59" s="29" t="s">
        <v>118</v>
      </c>
      <c r="D59" s="4"/>
      <c r="E59" s="4"/>
    </row>
    <row r="60" spans="1:5" x14ac:dyDescent="0.25">
      <c r="A60" s="5">
        <v>1</v>
      </c>
      <c r="B60" s="14"/>
      <c r="C60" s="29" t="s">
        <v>38</v>
      </c>
      <c r="D60" s="4"/>
      <c r="E60" s="4"/>
    </row>
    <row r="61" spans="1:5" x14ac:dyDescent="0.25">
      <c r="A61" s="5">
        <v>1</v>
      </c>
      <c r="B61" s="14"/>
      <c r="C61" s="29" t="s">
        <v>39</v>
      </c>
      <c r="D61" s="4"/>
      <c r="E61" s="4"/>
    </row>
    <row r="62" spans="1:5" x14ac:dyDescent="0.25">
      <c r="A62" s="5">
        <v>1</v>
      </c>
      <c r="B62" s="14"/>
      <c r="C62" s="29" t="s">
        <v>40</v>
      </c>
      <c r="D62" s="4"/>
      <c r="E62" s="4"/>
    </row>
    <row r="63" spans="1:5" x14ac:dyDescent="0.25">
      <c r="A63" s="5">
        <v>1</v>
      </c>
      <c r="B63" s="14"/>
      <c r="C63" s="29" t="s">
        <v>41</v>
      </c>
      <c r="D63" s="4"/>
      <c r="E63" s="4"/>
    </row>
    <row r="64" spans="1:5" x14ac:dyDescent="0.25">
      <c r="A64" s="5">
        <v>1</v>
      </c>
      <c r="B64" s="14"/>
      <c r="C64" s="29" t="s">
        <v>42</v>
      </c>
      <c r="D64" s="4"/>
      <c r="E64" s="4"/>
    </row>
    <row r="65" spans="1:5" x14ac:dyDescent="0.25">
      <c r="A65" s="5">
        <v>1</v>
      </c>
      <c r="B65" s="14"/>
      <c r="C65" s="29" t="s">
        <v>43</v>
      </c>
      <c r="D65" s="4"/>
      <c r="E65" s="4"/>
    </row>
    <row r="66" spans="1:5" x14ac:dyDescent="0.25">
      <c r="A66" s="5">
        <v>1</v>
      </c>
      <c r="B66" s="14"/>
      <c r="C66" s="29" t="s">
        <v>44</v>
      </c>
      <c r="D66" s="4"/>
      <c r="E66" s="4"/>
    </row>
    <row r="67" spans="1:5" x14ac:dyDescent="0.25">
      <c r="A67" s="5">
        <v>1</v>
      </c>
      <c r="B67" s="14"/>
      <c r="C67" s="29" t="s">
        <v>46</v>
      </c>
      <c r="D67" s="4"/>
      <c r="E67" s="4"/>
    </row>
    <row r="68" spans="1:5" x14ac:dyDescent="0.25">
      <c r="A68" s="5">
        <v>1</v>
      </c>
      <c r="B68" s="14"/>
      <c r="C68" s="29" t="s">
        <v>47</v>
      </c>
      <c r="D68" s="4"/>
      <c r="E68" s="4"/>
    </row>
    <row r="69" spans="1:5" x14ac:dyDescent="0.25">
      <c r="A69" s="5">
        <v>1</v>
      </c>
      <c r="B69" s="14"/>
      <c r="C69" s="29" t="s">
        <v>48</v>
      </c>
      <c r="D69" s="4"/>
      <c r="E69" s="4"/>
    </row>
    <row r="70" spans="1:5" x14ac:dyDescent="0.25">
      <c r="A70" s="5">
        <v>1</v>
      </c>
      <c r="B70" s="14"/>
      <c r="C70" s="29" t="s">
        <v>49</v>
      </c>
      <c r="D70" s="4"/>
      <c r="E70" s="4"/>
    </row>
    <row r="71" spans="1:5" x14ac:dyDescent="0.25">
      <c r="A71" s="5">
        <v>1</v>
      </c>
      <c r="B71" s="14"/>
      <c r="C71" s="29" t="s">
        <v>51</v>
      </c>
      <c r="D71" s="4"/>
      <c r="E71" s="4"/>
    </row>
    <row r="72" spans="1:5" x14ac:dyDescent="0.25">
      <c r="A72" s="5">
        <v>1</v>
      </c>
      <c r="B72" s="14"/>
      <c r="C72" s="29" t="s">
        <v>52</v>
      </c>
      <c r="D72" s="4"/>
      <c r="E72" s="4"/>
    </row>
    <row r="73" spans="1:5" x14ac:dyDescent="0.25">
      <c r="A73" s="5">
        <v>1</v>
      </c>
      <c r="B73" s="14"/>
      <c r="C73" s="29" t="s">
        <v>53</v>
      </c>
      <c r="D73" s="4"/>
      <c r="E73" s="4"/>
    </row>
    <row r="74" spans="1:5" x14ac:dyDescent="0.25">
      <c r="A74" s="5">
        <v>2</v>
      </c>
      <c r="B74" s="14"/>
      <c r="C74" s="29" t="s">
        <v>119</v>
      </c>
      <c r="D74" s="4"/>
      <c r="E74" s="4"/>
    </row>
    <row r="75" spans="1:5" x14ac:dyDescent="0.25">
      <c r="A75" s="14">
        <v>2</v>
      </c>
      <c r="B75" s="14"/>
      <c r="C75" s="14" t="s">
        <v>55</v>
      </c>
      <c r="D75" s="4"/>
      <c r="E75" s="4"/>
    </row>
    <row r="76" spans="1:5" ht="30" x14ac:dyDescent="0.25">
      <c r="A76" s="14">
        <v>2</v>
      </c>
      <c r="B76" s="14"/>
      <c r="C76" s="14" t="s">
        <v>124</v>
      </c>
      <c r="D76" s="4"/>
      <c r="E76" s="4"/>
    </row>
    <row r="77" spans="1:5" ht="60" x14ac:dyDescent="0.25">
      <c r="A77" s="14">
        <v>1</v>
      </c>
      <c r="B77" s="14"/>
      <c r="C77" s="14" t="s">
        <v>125</v>
      </c>
      <c r="D77" s="4"/>
      <c r="E77" s="4"/>
    </row>
    <row r="78" spans="1:5" x14ac:dyDescent="0.25">
      <c r="A78" s="14">
        <v>4</v>
      </c>
      <c r="B78" s="14"/>
      <c r="C78" s="14" t="s">
        <v>120</v>
      </c>
      <c r="D78" s="4"/>
      <c r="E78" s="4"/>
    </row>
    <row r="79" spans="1:5" ht="30" x14ac:dyDescent="0.25">
      <c r="A79" s="14">
        <v>4</v>
      </c>
      <c r="B79" s="14"/>
      <c r="C79" s="14" t="s">
        <v>126</v>
      </c>
      <c r="D79" s="4"/>
      <c r="E79" s="4"/>
    </row>
    <row r="80" spans="1:5" x14ac:dyDescent="0.25">
      <c r="A80" s="14">
        <v>2</v>
      </c>
      <c r="B80" s="14"/>
      <c r="C80" s="14" t="s">
        <v>127</v>
      </c>
      <c r="D80" s="4"/>
      <c r="E80" s="4"/>
    </row>
    <row r="81" spans="1:5" ht="30" x14ac:dyDescent="0.25">
      <c r="A81" s="14">
        <v>1</v>
      </c>
      <c r="B81" s="14"/>
      <c r="C81" s="14" t="s">
        <v>121</v>
      </c>
      <c r="D81" s="4"/>
      <c r="E81" s="4"/>
    </row>
    <row r="82" spans="1:5" ht="45" x14ac:dyDescent="0.25">
      <c r="A82" s="14">
        <v>8</v>
      </c>
      <c r="B82" s="14"/>
      <c r="C82" s="14" t="s">
        <v>128</v>
      </c>
      <c r="D82" s="4"/>
      <c r="E82" s="4"/>
    </row>
    <row r="83" spans="1:5" ht="45" x14ac:dyDescent="0.25">
      <c r="A83" s="14">
        <v>1</v>
      </c>
      <c r="B83" s="14"/>
      <c r="C83" s="14" t="s">
        <v>129</v>
      </c>
      <c r="D83" s="4"/>
      <c r="E83" s="4"/>
    </row>
    <row r="84" spans="1:5" ht="30" x14ac:dyDescent="0.25">
      <c r="A84" s="14" t="s">
        <v>123</v>
      </c>
      <c r="B84" s="14"/>
      <c r="C84" s="14" t="s">
        <v>122</v>
      </c>
      <c r="D84" s="4"/>
      <c r="E84" s="4"/>
    </row>
    <row r="85" spans="1:5" x14ac:dyDescent="0.25">
      <c r="A85" s="14">
        <v>1</v>
      </c>
      <c r="B85" s="14"/>
      <c r="C85" s="14" t="s">
        <v>130</v>
      </c>
      <c r="D85" s="4"/>
      <c r="E85" s="4"/>
    </row>
    <row r="86" spans="1:5" x14ac:dyDescent="0.25">
      <c r="A86" s="14">
        <v>1</v>
      </c>
      <c r="B86" s="14"/>
      <c r="C86" s="14" t="s">
        <v>131</v>
      </c>
      <c r="D86" s="4"/>
      <c r="E86" s="4"/>
    </row>
    <row r="87" spans="1:5" x14ac:dyDescent="0.25">
      <c r="A87" s="14">
        <v>1</v>
      </c>
      <c r="B87" s="14"/>
      <c r="C87" s="14" t="s">
        <v>132</v>
      </c>
      <c r="D87" s="4"/>
      <c r="E87" s="4"/>
    </row>
    <row r="88" spans="1:5" x14ac:dyDescent="0.25">
      <c r="A88" s="14">
        <v>1</v>
      </c>
      <c r="B88" s="14"/>
      <c r="C88" s="14" t="s">
        <v>133</v>
      </c>
      <c r="D88" s="4"/>
      <c r="E88" s="4"/>
    </row>
  </sheetData>
  <autoFilter ref="A1:E1" xr:uid="{E7027C12-51AC-431F-8B42-726287AD065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97F4-C059-44CB-8821-5DBC3AB06C56}">
  <dimension ref="A1:N90"/>
  <sheetViews>
    <sheetView topLeftCell="A10" zoomScale="90" zoomScaleNormal="90" workbookViewId="0">
      <selection activeCell="A2" sqref="A2:F32"/>
    </sheetView>
  </sheetViews>
  <sheetFormatPr baseColWidth="10" defaultRowHeight="15" x14ac:dyDescent="0.25"/>
  <cols>
    <col min="3" max="3" width="66.140625" customWidth="1"/>
    <col min="4" max="4" width="38.85546875" customWidth="1"/>
    <col min="5" max="5" width="29.28515625" customWidth="1"/>
    <col min="7" max="7" width="0" hidden="1" customWidth="1"/>
    <col min="11" max="11" width="52.5703125" bestFit="1" customWidth="1"/>
  </cols>
  <sheetData>
    <row r="1" spans="1:14" ht="15.75" x14ac:dyDescent="0.25">
      <c r="A1" s="1" t="s">
        <v>1</v>
      </c>
      <c r="B1" s="2"/>
      <c r="C1" s="2" t="s">
        <v>2</v>
      </c>
      <c r="D1" s="3" t="s">
        <v>3</v>
      </c>
      <c r="E1" s="4" t="s">
        <v>4</v>
      </c>
      <c r="F1" s="4" t="s">
        <v>5</v>
      </c>
      <c r="I1" s="34" t="s">
        <v>107</v>
      </c>
      <c r="J1" s="35"/>
      <c r="K1" s="35"/>
      <c r="L1" s="35"/>
      <c r="M1" s="35"/>
      <c r="N1" s="36"/>
    </row>
    <row r="2" spans="1:14" x14ac:dyDescent="0.25">
      <c r="A2" s="5">
        <v>1</v>
      </c>
      <c r="B2" s="14"/>
      <c r="C2" s="29" t="s">
        <v>117</v>
      </c>
      <c r="D2" s="19">
        <v>13990</v>
      </c>
      <c r="E2" s="4"/>
      <c r="F2" s="4"/>
      <c r="G2" s="31">
        <v>16000</v>
      </c>
      <c r="I2" s="37" t="s">
        <v>0</v>
      </c>
      <c r="J2" s="37"/>
      <c r="K2" s="37"/>
      <c r="L2" s="37"/>
      <c r="M2" s="37"/>
      <c r="N2" s="38"/>
    </row>
    <row r="3" spans="1:14" ht="45" x14ac:dyDescent="0.25">
      <c r="A3" s="5">
        <v>1</v>
      </c>
      <c r="B3" s="14"/>
      <c r="C3" s="29" t="s">
        <v>36</v>
      </c>
      <c r="D3" s="19">
        <v>27990</v>
      </c>
      <c r="E3" s="4"/>
      <c r="F3" s="4"/>
      <c r="G3" s="31">
        <v>28000</v>
      </c>
      <c r="I3" s="1" t="s">
        <v>1</v>
      </c>
      <c r="J3" s="2"/>
      <c r="K3" s="2" t="s">
        <v>2</v>
      </c>
      <c r="L3" s="3" t="s">
        <v>3</v>
      </c>
      <c r="M3" s="4" t="s">
        <v>4</v>
      </c>
      <c r="N3" s="4" t="s">
        <v>5</v>
      </c>
    </row>
    <row r="4" spans="1:14" x14ac:dyDescent="0.25">
      <c r="A4" s="5">
        <v>1</v>
      </c>
      <c r="B4" s="14"/>
      <c r="C4" s="29" t="s">
        <v>36</v>
      </c>
      <c r="D4" s="19">
        <v>167391</v>
      </c>
      <c r="E4" s="4"/>
      <c r="F4" s="4"/>
      <c r="G4" s="31">
        <v>175000</v>
      </c>
      <c r="I4" s="17">
        <v>1</v>
      </c>
      <c r="J4" s="2"/>
      <c r="K4" s="18" t="s">
        <v>8</v>
      </c>
      <c r="L4" s="19">
        <v>57656</v>
      </c>
      <c r="M4" s="20"/>
      <c r="N4" s="21"/>
    </row>
    <row r="5" spans="1:14" x14ac:dyDescent="0.25">
      <c r="A5" s="5">
        <v>1</v>
      </c>
      <c r="B5" s="14"/>
      <c r="C5" s="29" t="s">
        <v>118</v>
      </c>
      <c r="D5" s="19">
        <v>17880</v>
      </c>
      <c r="E5" s="4"/>
      <c r="F5" s="4"/>
      <c r="G5" s="31">
        <f t="shared" ref="G5:G32" si="0">+D5</f>
        <v>17880</v>
      </c>
      <c r="I5" s="17">
        <v>2</v>
      </c>
      <c r="J5" s="2"/>
      <c r="K5" s="18" t="s">
        <v>9</v>
      </c>
      <c r="L5" s="19">
        <v>38438</v>
      </c>
      <c r="M5" s="20"/>
      <c r="N5" s="21"/>
    </row>
    <row r="6" spans="1:14" x14ac:dyDescent="0.25">
      <c r="A6" s="5">
        <v>1</v>
      </c>
      <c r="B6" s="14"/>
      <c r="C6" s="29" t="s">
        <v>38</v>
      </c>
      <c r="D6" s="19">
        <v>16446</v>
      </c>
      <c r="E6" s="4"/>
      <c r="F6" s="4"/>
      <c r="G6" s="31">
        <v>17000</v>
      </c>
      <c r="I6" s="17">
        <v>1</v>
      </c>
      <c r="J6" s="2"/>
      <c r="K6" s="18" t="s">
        <v>10</v>
      </c>
      <c r="L6" s="19">
        <v>56400</v>
      </c>
      <c r="M6" s="20"/>
      <c r="N6" s="21"/>
    </row>
    <row r="7" spans="1:14" ht="30" x14ac:dyDescent="0.25">
      <c r="A7" s="5">
        <v>1</v>
      </c>
      <c r="B7" s="14"/>
      <c r="C7" s="29" t="s">
        <v>39</v>
      </c>
      <c r="D7" s="19">
        <v>34790</v>
      </c>
      <c r="E7" s="4"/>
      <c r="F7" s="4"/>
      <c r="G7" s="31">
        <v>35000</v>
      </c>
      <c r="I7" s="17">
        <v>2</v>
      </c>
      <c r="J7" s="2"/>
      <c r="K7" s="18" t="s">
        <v>11</v>
      </c>
      <c r="L7" s="19">
        <v>119980</v>
      </c>
      <c r="M7" s="20"/>
      <c r="N7" s="21"/>
    </row>
    <row r="8" spans="1:14" x14ac:dyDescent="0.25">
      <c r="A8" s="5">
        <v>1</v>
      </c>
      <c r="B8" s="14"/>
      <c r="C8" s="29" t="s">
        <v>40</v>
      </c>
      <c r="D8" s="19">
        <v>31192</v>
      </c>
      <c r="E8" s="4"/>
      <c r="F8" s="4"/>
      <c r="G8" s="31">
        <v>32000</v>
      </c>
      <c r="I8" s="17">
        <v>2</v>
      </c>
      <c r="J8" s="2"/>
      <c r="K8" s="18" t="s">
        <v>12</v>
      </c>
      <c r="L8" s="19">
        <v>26980</v>
      </c>
      <c r="M8" s="20"/>
      <c r="N8" s="21"/>
    </row>
    <row r="9" spans="1:14" ht="45" x14ac:dyDescent="0.25">
      <c r="A9" s="5">
        <v>1</v>
      </c>
      <c r="B9" s="14"/>
      <c r="C9" s="29" t="s">
        <v>41</v>
      </c>
      <c r="D9" s="19">
        <v>7431</v>
      </c>
      <c r="E9" s="4"/>
      <c r="F9" s="4"/>
      <c r="G9" s="31">
        <v>8000</v>
      </c>
      <c r="I9" s="17">
        <v>1</v>
      </c>
      <c r="J9" s="2"/>
      <c r="K9" s="18" t="s">
        <v>13</v>
      </c>
      <c r="L9" s="19">
        <v>9900</v>
      </c>
      <c r="M9" s="20"/>
      <c r="N9" s="21"/>
    </row>
    <row r="10" spans="1:14" x14ac:dyDescent="0.25">
      <c r="A10" s="5">
        <v>1</v>
      </c>
      <c r="B10" s="14"/>
      <c r="C10" s="29" t="s">
        <v>42</v>
      </c>
      <c r="D10" s="19">
        <v>14599</v>
      </c>
      <c r="E10" s="4"/>
      <c r="F10" s="4"/>
      <c r="G10" s="31">
        <v>15000</v>
      </c>
      <c r="I10" s="17">
        <v>1</v>
      </c>
      <c r="J10" s="2"/>
      <c r="K10" s="18" t="s">
        <v>14</v>
      </c>
      <c r="L10" s="19">
        <v>16990</v>
      </c>
      <c r="M10" s="20"/>
      <c r="N10" s="21"/>
    </row>
    <row r="11" spans="1:14" ht="30" x14ac:dyDescent="0.25">
      <c r="A11" s="5">
        <v>1</v>
      </c>
      <c r="B11" s="14"/>
      <c r="C11" s="29" t="s">
        <v>43</v>
      </c>
      <c r="D11" s="19">
        <v>4429</v>
      </c>
      <c r="E11" s="4"/>
      <c r="F11" s="4"/>
      <c r="G11" s="31">
        <v>5000</v>
      </c>
      <c r="I11" s="17">
        <v>1</v>
      </c>
      <c r="J11" s="2"/>
      <c r="K11" s="18" t="s">
        <v>15</v>
      </c>
      <c r="L11" s="19">
        <v>9990</v>
      </c>
      <c r="M11" s="20"/>
      <c r="N11" s="21"/>
    </row>
    <row r="12" spans="1:14" x14ac:dyDescent="0.25">
      <c r="A12" s="5">
        <v>1</v>
      </c>
      <c r="B12" s="14"/>
      <c r="C12" s="29" t="s">
        <v>44</v>
      </c>
      <c r="D12" s="19">
        <v>18600</v>
      </c>
      <c r="E12" s="4"/>
      <c r="F12" s="4"/>
      <c r="G12" s="31">
        <f t="shared" si="0"/>
        <v>18600</v>
      </c>
      <c r="I12" s="17">
        <v>1</v>
      </c>
      <c r="J12" s="2"/>
      <c r="K12" s="18" t="s">
        <v>16</v>
      </c>
      <c r="L12" s="19">
        <v>20990</v>
      </c>
      <c r="M12" s="20"/>
      <c r="N12" s="21"/>
    </row>
    <row r="13" spans="1:14" x14ac:dyDescent="0.25">
      <c r="A13" s="5">
        <v>1</v>
      </c>
      <c r="B13" s="14"/>
      <c r="C13" s="29" t="s">
        <v>45</v>
      </c>
      <c r="D13" s="19">
        <v>27641</v>
      </c>
      <c r="E13" s="4"/>
      <c r="F13" s="4"/>
      <c r="G13" s="31">
        <v>28500</v>
      </c>
      <c r="I13" s="17">
        <v>1</v>
      </c>
      <c r="J13" s="2"/>
      <c r="K13" s="18" t="s">
        <v>17</v>
      </c>
      <c r="L13" s="19">
        <v>6990</v>
      </c>
      <c r="M13" s="20"/>
      <c r="N13" s="21"/>
    </row>
    <row r="14" spans="1:14" x14ac:dyDescent="0.25">
      <c r="A14" s="5">
        <v>1</v>
      </c>
      <c r="B14" s="14"/>
      <c r="C14" s="29" t="s">
        <v>46</v>
      </c>
      <c r="D14" s="19">
        <v>14990</v>
      </c>
      <c r="E14" s="4"/>
      <c r="F14" s="4"/>
      <c r="G14" s="31">
        <f t="shared" si="0"/>
        <v>14990</v>
      </c>
      <c r="I14" s="5">
        <v>1</v>
      </c>
      <c r="J14" s="6"/>
      <c r="K14" s="7" t="s">
        <v>18</v>
      </c>
      <c r="L14" s="8">
        <v>7990</v>
      </c>
      <c r="M14" s="9"/>
      <c r="N14" s="10"/>
    </row>
    <row r="15" spans="1:14" x14ac:dyDescent="0.25">
      <c r="A15" s="5">
        <v>1</v>
      </c>
      <c r="B15" s="14"/>
      <c r="C15" s="29" t="s">
        <v>47</v>
      </c>
      <c r="D15" s="19">
        <v>8290</v>
      </c>
      <c r="E15" s="4"/>
      <c r="F15" s="4"/>
      <c r="G15" s="31">
        <v>9000</v>
      </c>
      <c r="I15" s="5">
        <v>1</v>
      </c>
      <c r="J15" s="6"/>
      <c r="K15" s="7" t="s">
        <v>19</v>
      </c>
      <c r="L15" s="8">
        <v>7990</v>
      </c>
      <c r="M15" s="11"/>
      <c r="N15" s="6"/>
    </row>
    <row r="16" spans="1:14" x14ac:dyDescent="0.25">
      <c r="A16" s="5">
        <v>1</v>
      </c>
      <c r="B16" s="14"/>
      <c r="C16" s="29" t="s">
        <v>48</v>
      </c>
      <c r="D16" s="19">
        <v>6989</v>
      </c>
      <c r="E16" s="4"/>
      <c r="F16" s="4"/>
      <c r="G16" s="31">
        <v>7050</v>
      </c>
      <c r="I16" s="5">
        <v>1</v>
      </c>
      <c r="J16" s="6"/>
      <c r="K16" s="7" t="s">
        <v>20</v>
      </c>
      <c r="L16" s="8">
        <v>6560</v>
      </c>
      <c r="M16" s="11"/>
      <c r="N16" s="6"/>
    </row>
    <row r="17" spans="1:14" x14ac:dyDescent="0.25">
      <c r="A17" s="5">
        <v>1</v>
      </c>
      <c r="B17" s="14"/>
      <c r="C17" s="29" t="s">
        <v>49</v>
      </c>
      <c r="D17" s="19">
        <v>6990</v>
      </c>
      <c r="E17" s="4"/>
      <c r="F17" s="4"/>
      <c r="G17" s="31">
        <f t="shared" si="0"/>
        <v>6990</v>
      </c>
      <c r="I17" s="5">
        <v>1</v>
      </c>
      <c r="J17" s="6"/>
      <c r="K17" s="7" t="s">
        <v>21</v>
      </c>
      <c r="L17" s="8">
        <v>5990</v>
      </c>
      <c r="M17" s="11"/>
      <c r="N17" s="6"/>
    </row>
    <row r="18" spans="1:14" x14ac:dyDescent="0.25">
      <c r="A18" s="5">
        <v>1</v>
      </c>
      <c r="B18" s="14"/>
      <c r="C18" s="29" t="s">
        <v>50</v>
      </c>
      <c r="D18" s="19">
        <v>9697</v>
      </c>
      <c r="E18" s="4"/>
      <c r="F18" s="4"/>
      <c r="G18" s="31">
        <v>10000</v>
      </c>
      <c r="I18" s="5">
        <v>1</v>
      </c>
      <c r="J18" s="6"/>
      <c r="K18" s="7" t="s">
        <v>22</v>
      </c>
      <c r="L18" s="8">
        <v>12990</v>
      </c>
      <c r="M18" s="11"/>
      <c r="N18" s="6"/>
    </row>
    <row r="19" spans="1:14" x14ac:dyDescent="0.25">
      <c r="A19" s="5">
        <v>1</v>
      </c>
      <c r="B19" s="14"/>
      <c r="C19" s="29" t="s">
        <v>51</v>
      </c>
      <c r="D19" s="19">
        <v>6501</v>
      </c>
      <c r="E19" s="4"/>
      <c r="F19" s="4"/>
      <c r="G19" s="31">
        <v>7000</v>
      </c>
      <c r="I19" s="5">
        <v>1</v>
      </c>
      <c r="J19" s="6"/>
      <c r="K19" s="7" t="s">
        <v>23</v>
      </c>
      <c r="L19" s="8">
        <v>9990</v>
      </c>
      <c r="M19" s="11"/>
      <c r="N19" s="6"/>
    </row>
    <row r="20" spans="1:14" x14ac:dyDescent="0.25">
      <c r="A20" s="5">
        <v>1</v>
      </c>
      <c r="B20" s="14"/>
      <c r="C20" s="29" t="s">
        <v>52</v>
      </c>
      <c r="D20" s="19">
        <v>5175</v>
      </c>
      <c r="E20" s="4"/>
      <c r="F20" s="4"/>
      <c r="G20" s="31">
        <v>6000</v>
      </c>
      <c r="I20" s="12"/>
      <c r="J20" s="10"/>
      <c r="K20" s="13"/>
      <c r="L20" s="8"/>
      <c r="M20" s="11"/>
      <c r="N20" s="6"/>
    </row>
    <row r="21" spans="1:14" x14ac:dyDescent="0.25">
      <c r="A21" s="5">
        <v>1</v>
      </c>
      <c r="B21" s="14"/>
      <c r="C21" s="29" t="s">
        <v>53</v>
      </c>
      <c r="D21" s="19">
        <v>12990</v>
      </c>
      <c r="E21" s="4"/>
      <c r="F21" s="4"/>
      <c r="G21" s="31">
        <f t="shared" si="0"/>
        <v>12990</v>
      </c>
      <c r="I21" s="39" t="s">
        <v>6</v>
      </c>
      <c r="J21" s="39"/>
      <c r="K21" s="39"/>
      <c r="L21" s="37"/>
      <c r="M21" s="37"/>
      <c r="N21" s="38"/>
    </row>
    <row r="22" spans="1:14" ht="45" x14ac:dyDescent="0.25">
      <c r="A22" s="5">
        <v>2</v>
      </c>
      <c r="B22" s="14"/>
      <c r="C22" s="29" t="s">
        <v>119</v>
      </c>
      <c r="D22" s="19">
        <v>6640</v>
      </c>
      <c r="E22" s="4"/>
      <c r="F22" s="4"/>
      <c r="G22" s="31">
        <v>7000</v>
      </c>
      <c r="I22" s="1" t="s">
        <v>1</v>
      </c>
      <c r="J22" s="2"/>
      <c r="K22" s="2" t="s">
        <v>2</v>
      </c>
      <c r="L22" s="3" t="s">
        <v>3</v>
      </c>
      <c r="M22" s="4" t="s">
        <v>4</v>
      </c>
      <c r="N22" s="4" t="s">
        <v>5</v>
      </c>
    </row>
    <row r="23" spans="1:14" x14ac:dyDescent="0.25">
      <c r="A23" s="14">
        <v>2</v>
      </c>
      <c r="B23" s="14"/>
      <c r="C23" s="14" t="s">
        <v>55</v>
      </c>
      <c r="D23" s="32">
        <v>6593</v>
      </c>
      <c r="E23" s="4"/>
      <c r="F23" s="4"/>
      <c r="G23" s="31">
        <v>7000</v>
      </c>
      <c r="I23" s="22">
        <v>1</v>
      </c>
      <c r="J23" s="22"/>
      <c r="K23" s="22" t="s">
        <v>24</v>
      </c>
      <c r="L23" s="23">
        <v>19900</v>
      </c>
      <c r="M23" s="24"/>
      <c r="N23" s="24"/>
    </row>
    <row r="24" spans="1:14" ht="30" x14ac:dyDescent="0.25">
      <c r="A24" s="14">
        <v>2</v>
      </c>
      <c r="B24" s="14"/>
      <c r="C24" s="14" t="s">
        <v>124</v>
      </c>
      <c r="D24" s="32">
        <v>30000</v>
      </c>
      <c r="E24" s="4"/>
      <c r="F24" s="4"/>
      <c r="G24" s="31">
        <f t="shared" si="0"/>
        <v>30000</v>
      </c>
      <c r="I24" s="22">
        <v>1</v>
      </c>
      <c r="J24" s="22"/>
      <c r="K24" s="22" t="s">
        <v>25</v>
      </c>
      <c r="L24" s="23">
        <v>21990</v>
      </c>
      <c r="M24" s="24"/>
      <c r="N24" s="24"/>
    </row>
    <row r="25" spans="1:14" ht="75" x14ac:dyDescent="0.25">
      <c r="A25" s="14">
        <v>1</v>
      </c>
      <c r="B25" s="14"/>
      <c r="C25" s="14" t="s">
        <v>125</v>
      </c>
      <c r="D25" s="32">
        <v>90000</v>
      </c>
      <c r="E25" s="4"/>
      <c r="F25" s="4"/>
      <c r="G25" s="31">
        <v>130000</v>
      </c>
      <c r="I25" s="22">
        <v>1</v>
      </c>
      <c r="J25" s="22"/>
      <c r="K25" s="22" t="s">
        <v>26</v>
      </c>
      <c r="L25" s="23">
        <v>3990</v>
      </c>
      <c r="M25" s="24"/>
      <c r="N25" s="24"/>
    </row>
    <row r="26" spans="1:14" x14ac:dyDescent="0.25">
      <c r="A26" s="14">
        <v>4</v>
      </c>
      <c r="B26" s="14"/>
      <c r="C26" s="14" t="s">
        <v>120</v>
      </c>
      <c r="D26" s="32">
        <v>8000</v>
      </c>
      <c r="E26" s="4"/>
      <c r="F26" s="4"/>
      <c r="G26" s="31">
        <f t="shared" si="0"/>
        <v>8000</v>
      </c>
      <c r="I26" s="22">
        <v>1</v>
      </c>
      <c r="J26" s="22"/>
      <c r="K26" s="22" t="s">
        <v>27</v>
      </c>
      <c r="L26" s="23">
        <v>18990</v>
      </c>
      <c r="M26" s="24"/>
      <c r="N26" s="24"/>
    </row>
    <row r="27" spans="1:14" ht="30" x14ac:dyDescent="0.25">
      <c r="A27" s="14">
        <v>4</v>
      </c>
      <c r="B27" s="14"/>
      <c r="C27" s="14" t="s">
        <v>126</v>
      </c>
      <c r="D27" s="32">
        <v>8000</v>
      </c>
      <c r="E27" s="4"/>
      <c r="F27" s="4"/>
      <c r="G27" s="31">
        <f t="shared" si="0"/>
        <v>8000</v>
      </c>
      <c r="I27" s="22">
        <v>1</v>
      </c>
      <c r="J27" s="22"/>
      <c r="K27" s="22" t="s">
        <v>28</v>
      </c>
      <c r="L27" s="23">
        <v>16990</v>
      </c>
      <c r="M27" s="24"/>
      <c r="N27" s="24"/>
    </row>
    <row r="28" spans="1:14" x14ac:dyDescent="0.25">
      <c r="A28" s="14">
        <v>2</v>
      </c>
      <c r="B28" s="14"/>
      <c r="C28" s="14" t="s">
        <v>127</v>
      </c>
      <c r="D28" s="32">
        <v>10000</v>
      </c>
      <c r="E28" s="4"/>
      <c r="F28" s="4"/>
      <c r="G28" s="31">
        <f t="shared" si="0"/>
        <v>10000</v>
      </c>
      <c r="I28" s="22">
        <v>1</v>
      </c>
      <c r="J28" s="22"/>
      <c r="K28" s="22" t="s">
        <v>29</v>
      </c>
      <c r="L28" s="23">
        <v>27990</v>
      </c>
      <c r="M28" s="24"/>
      <c r="N28" s="24"/>
    </row>
    <row r="29" spans="1:14" ht="30" x14ac:dyDescent="0.25">
      <c r="A29" s="14">
        <v>1</v>
      </c>
      <c r="B29" s="14"/>
      <c r="C29" s="14" t="s">
        <v>121</v>
      </c>
      <c r="D29" s="32">
        <v>35000</v>
      </c>
      <c r="E29" s="4"/>
      <c r="F29" s="4"/>
      <c r="G29" s="31">
        <f t="shared" si="0"/>
        <v>35000</v>
      </c>
      <c r="I29" s="22">
        <v>1</v>
      </c>
      <c r="J29" s="22"/>
      <c r="K29" s="22" t="s">
        <v>30</v>
      </c>
      <c r="L29" s="23">
        <v>35990</v>
      </c>
      <c r="M29" s="24"/>
      <c r="N29" s="24"/>
    </row>
    <row r="30" spans="1:14" ht="45" x14ac:dyDescent="0.25">
      <c r="A30" s="14">
        <v>8</v>
      </c>
      <c r="B30" s="14"/>
      <c r="C30" s="14" t="s">
        <v>128</v>
      </c>
      <c r="D30" s="32">
        <v>20000</v>
      </c>
      <c r="E30" s="4"/>
      <c r="F30" s="4"/>
      <c r="G30" s="31">
        <f t="shared" si="0"/>
        <v>20000</v>
      </c>
      <c r="I30" s="22">
        <v>1</v>
      </c>
      <c r="J30" s="22"/>
      <c r="K30" s="22" t="s">
        <v>31</v>
      </c>
      <c r="L30" s="23">
        <v>26990</v>
      </c>
      <c r="M30" s="24"/>
      <c r="N30" s="24"/>
    </row>
    <row r="31" spans="1:14" ht="45" x14ac:dyDescent="0.25">
      <c r="A31" s="14">
        <v>1</v>
      </c>
      <c r="B31" s="14"/>
      <c r="C31" s="14" t="s">
        <v>129</v>
      </c>
      <c r="D31" s="32">
        <v>35000</v>
      </c>
      <c r="E31" s="4"/>
      <c r="F31" s="4"/>
      <c r="G31" s="31">
        <f t="shared" si="0"/>
        <v>35000</v>
      </c>
      <c r="I31" s="5">
        <v>1</v>
      </c>
      <c r="J31" s="6"/>
      <c r="K31" s="14" t="s">
        <v>32</v>
      </c>
      <c r="L31" s="16">
        <v>12900</v>
      </c>
      <c r="M31" s="6"/>
      <c r="N31" s="6"/>
    </row>
    <row r="32" spans="1:14" ht="45" x14ac:dyDescent="0.25">
      <c r="A32" s="14" t="s">
        <v>123</v>
      </c>
      <c r="B32" s="14"/>
      <c r="C32" s="14" t="s">
        <v>122</v>
      </c>
      <c r="D32" s="32">
        <v>40000</v>
      </c>
      <c r="E32" s="4"/>
      <c r="F32" s="4"/>
      <c r="G32" s="31">
        <f t="shared" si="0"/>
        <v>40000</v>
      </c>
      <c r="I32" s="15">
        <v>1</v>
      </c>
      <c r="J32" s="6"/>
      <c r="K32" s="14" t="s">
        <v>33</v>
      </c>
      <c r="L32" s="16">
        <v>19900</v>
      </c>
      <c r="M32" s="6"/>
      <c r="N32" s="6"/>
    </row>
    <row r="33" spans="4:14" x14ac:dyDescent="0.25">
      <c r="D33" s="31"/>
      <c r="G33" s="30">
        <f>+SUM(G2:G32)</f>
        <v>800000</v>
      </c>
      <c r="I33" s="15"/>
      <c r="J33" s="6"/>
      <c r="K33" s="6"/>
      <c r="L33" s="6"/>
      <c r="M33" s="6"/>
      <c r="N33" s="6"/>
    </row>
    <row r="34" spans="4:14" x14ac:dyDescent="0.25">
      <c r="I34" s="39" t="s">
        <v>56</v>
      </c>
      <c r="J34" s="39"/>
      <c r="K34" s="39"/>
      <c r="L34" s="39"/>
      <c r="M34" s="39"/>
      <c r="N34" s="40"/>
    </row>
    <row r="35" spans="4:14" ht="45" x14ac:dyDescent="0.25">
      <c r="I35" s="1" t="s">
        <v>1</v>
      </c>
      <c r="J35" s="2"/>
      <c r="K35" s="2" t="s">
        <v>2</v>
      </c>
      <c r="L35" s="3" t="s">
        <v>3</v>
      </c>
      <c r="M35" s="4" t="s">
        <v>4</v>
      </c>
      <c r="N35" s="4" t="s">
        <v>5</v>
      </c>
    </row>
    <row r="36" spans="4:14" x14ac:dyDescent="0.25">
      <c r="I36" s="22">
        <v>1</v>
      </c>
      <c r="J36" s="22"/>
      <c r="K36" s="22" t="s">
        <v>57</v>
      </c>
      <c r="L36" s="23">
        <v>25000</v>
      </c>
      <c r="M36" s="24"/>
      <c r="N36" s="24"/>
    </row>
    <row r="37" spans="4:14" x14ac:dyDescent="0.25">
      <c r="I37" s="22">
        <v>3</v>
      </c>
      <c r="J37" s="22"/>
      <c r="K37" s="22" t="s">
        <v>58</v>
      </c>
      <c r="L37" s="23">
        <v>80000</v>
      </c>
      <c r="M37" s="24"/>
      <c r="N37" s="24"/>
    </row>
    <row r="38" spans="4:14" x14ac:dyDescent="0.25">
      <c r="I38" s="22">
        <v>1</v>
      </c>
      <c r="J38" s="22"/>
      <c r="K38" s="22" t="s">
        <v>59</v>
      </c>
      <c r="L38" s="23">
        <v>25000</v>
      </c>
      <c r="M38" s="24"/>
      <c r="N38" s="24"/>
    </row>
    <row r="39" spans="4:14" x14ac:dyDescent="0.25">
      <c r="I39" s="22">
        <v>5</v>
      </c>
      <c r="J39" s="22"/>
      <c r="K39" s="22" t="s">
        <v>60</v>
      </c>
      <c r="L39" s="23">
        <v>45000</v>
      </c>
      <c r="M39" s="24"/>
      <c r="N39" s="24"/>
    </row>
    <row r="40" spans="4:14" x14ac:dyDescent="0.25">
      <c r="I40" s="15">
        <v>2</v>
      </c>
      <c r="J40" s="6"/>
      <c r="K40" s="6" t="s">
        <v>61</v>
      </c>
      <c r="L40" s="16">
        <v>40000</v>
      </c>
      <c r="M40" s="6"/>
      <c r="N40" s="6"/>
    </row>
    <row r="41" spans="4:14" x14ac:dyDescent="0.25">
      <c r="I41" s="15">
        <v>6</v>
      </c>
      <c r="J41" s="6"/>
      <c r="K41" s="6" t="s">
        <v>62</v>
      </c>
      <c r="L41" s="16">
        <v>90000</v>
      </c>
      <c r="M41" s="6"/>
      <c r="N41" s="6"/>
    </row>
    <row r="42" spans="4:14" x14ac:dyDescent="0.25">
      <c r="I42" s="15">
        <v>1</v>
      </c>
      <c r="J42" s="6"/>
      <c r="K42" s="6" t="s">
        <v>63</v>
      </c>
      <c r="L42" s="16">
        <v>25000</v>
      </c>
      <c r="M42" s="6"/>
      <c r="N42" s="6"/>
    </row>
    <row r="43" spans="4:14" x14ac:dyDescent="0.25">
      <c r="I43" s="25"/>
      <c r="J43" s="26"/>
      <c r="K43" s="26"/>
      <c r="L43" s="27"/>
      <c r="M43" s="26"/>
      <c r="N43" s="28"/>
    </row>
    <row r="44" spans="4:14" x14ac:dyDescent="0.25">
      <c r="I44" s="39" t="s">
        <v>7</v>
      </c>
      <c r="J44" s="39"/>
      <c r="K44" s="39"/>
      <c r="L44" s="39"/>
      <c r="M44" s="39"/>
      <c r="N44" s="40"/>
    </row>
    <row r="45" spans="4:14" ht="45" x14ac:dyDescent="0.25">
      <c r="I45" s="1" t="s">
        <v>1</v>
      </c>
      <c r="J45" s="2"/>
      <c r="K45" s="2" t="s">
        <v>2</v>
      </c>
      <c r="L45" s="3" t="s">
        <v>3</v>
      </c>
      <c r="M45" s="4" t="s">
        <v>4</v>
      </c>
      <c r="N45" s="4" t="s">
        <v>5</v>
      </c>
    </row>
    <row r="46" spans="4:14" x14ac:dyDescent="0.25">
      <c r="I46" s="17">
        <v>1</v>
      </c>
      <c r="J46" s="29"/>
      <c r="K46" s="29" t="s">
        <v>64</v>
      </c>
      <c r="L46" s="19">
        <v>30000</v>
      </c>
      <c r="M46" s="4"/>
      <c r="N46" s="4"/>
    </row>
    <row r="47" spans="4:14" x14ac:dyDescent="0.25">
      <c r="I47" s="17">
        <v>1</v>
      </c>
      <c r="J47" s="29"/>
      <c r="K47" s="29" t="s">
        <v>65</v>
      </c>
      <c r="L47" s="19">
        <v>40000</v>
      </c>
      <c r="M47" s="4"/>
      <c r="N47" s="4"/>
    </row>
    <row r="48" spans="4:14" x14ac:dyDescent="0.25">
      <c r="I48" s="17">
        <v>1</v>
      </c>
      <c r="J48" s="29"/>
      <c r="K48" s="29" t="s">
        <v>66</v>
      </c>
      <c r="L48" s="19">
        <v>15000</v>
      </c>
      <c r="M48" s="4"/>
      <c r="N48" s="4"/>
    </row>
    <row r="49" spans="9:14" x14ac:dyDescent="0.25">
      <c r="I49" s="17">
        <v>1</v>
      </c>
      <c r="J49" s="29"/>
      <c r="K49" s="29" t="s">
        <v>67</v>
      </c>
      <c r="L49" s="19">
        <v>35000</v>
      </c>
      <c r="M49" s="4"/>
      <c r="N49" s="4"/>
    </row>
    <row r="50" spans="9:14" x14ac:dyDescent="0.25">
      <c r="I50" s="17">
        <v>1</v>
      </c>
      <c r="J50" s="29"/>
      <c r="K50" s="29" t="s">
        <v>68</v>
      </c>
      <c r="L50" s="19">
        <v>8000</v>
      </c>
      <c r="M50" s="4"/>
      <c r="N50" s="4"/>
    </row>
    <row r="51" spans="9:14" x14ac:dyDescent="0.25">
      <c r="I51" s="17">
        <v>1</v>
      </c>
      <c r="J51" s="29"/>
      <c r="K51" s="29" t="s">
        <v>69</v>
      </c>
      <c r="L51" s="19">
        <v>30000</v>
      </c>
      <c r="M51" s="4"/>
      <c r="N51" s="4"/>
    </row>
    <row r="52" spans="9:14" x14ac:dyDescent="0.25">
      <c r="I52" s="17">
        <v>1</v>
      </c>
      <c r="J52" s="29"/>
      <c r="K52" s="29" t="s">
        <v>70</v>
      </c>
      <c r="L52" s="19">
        <v>20000</v>
      </c>
      <c r="M52" s="4"/>
      <c r="N52" s="4"/>
    </row>
    <row r="53" spans="9:14" ht="30" x14ac:dyDescent="0.25">
      <c r="I53" s="17">
        <v>3</v>
      </c>
      <c r="J53" s="29"/>
      <c r="K53" s="29" t="s">
        <v>71</v>
      </c>
      <c r="L53" s="19">
        <f>6000*3</f>
        <v>18000</v>
      </c>
      <c r="M53" s="4"/>
      <c r="N53" s="4"/>
    </row>
    <row r="54" spans="9:14" ht="30" x14ac:dyDescent="0.25">
      <c r="I54" s="17">
        <v>1</v>
      </c>
      <c r="J54" s="29"/>
      <c r="K54" s="29" t="s">
        <v>72</v>
      </c>
      <c r="L54" s="19">
        <v>20000</v>
      </c>
      <c r="M54" s="4"/>
      <c r="N54" s="4"/>
    </row>
    <row r="55" spans="9:14" ht="30" x14ac:dyDescent="0.25">
      <c r="I55" s="17">
        <v>3</v>
      </c>
      <c r="J55" s="29"/>
      <c r="K55" s="29" t="s">
        <v>73</v>
      </c>
      <c r="L55" s="19">
        <v>15000</v>
      </c>
      <c r="M55" s="4"/>
      <c r="N55" s="4"/>
    </row>
    <row r="56" spans="9:14" ht="30" x14ac:dyDescent="0.25">
      <c r="I56" s="17">
        <v>1</v>
      </c>
      <c r="J56" s="29"/>
      <c r="K56" s="29" t="s">
        <v>74</v>
      </c>
      <c r="L56" s="19">
        <v>6000</v>
      </c>
      <c r="M56" s="4"/>
      <c r="N56" s="4"/>
    </row>
    <row r="57" spans="9:14" x14ac:dyDescent="0.25">
      <c r="I57" s="17">
        <v>1</v>
      </c>
      <c r="J57" s="29"/>
      <c r="K57" s="29" t="s">
        <v>75</v>
      </c>
      <c r="L57" s="19">
        <v>5500</v>
      </c>
      <c r="M57" s="4"/>
      <c r="N57" s="4"/>
    </row>
    <row r="58" spans="9:14" x14ac:dyDescent="0.25">
      <c r="I58" s="17">
        <v>1</v>
      </c>
      <c r="J58" s="29"/>
      <c r="K58" s="29" t="s">
        <v>76</v>
      </c>
      <c r="L58" s="19">
        <v>15000</v>
      </c>
      <c r="M58" s="4"/>
      <c r="N58" s="4"/>
    </row>
    <row r="59" spans="9:14" x14ac:dyDescent="0.25">
      <c r="I59" s="17">
        <v>1</v>
      </c>
      <c r="J59" s="29"/>
      <c r="K59" s="29" t="s">
        <v>77</v>
      </c>
      <c r="L59" s="19">
        <v>19000</v>
      </c>
      <c r="M59" s="4"/>
      <c r="N59" s="4"/>
    </row>
    <row r="60" spans="9:14" x14ac:dyDescent="0.25">
      <c r="I60" s="17">
        <v>1</v>
      </c>
      <c r="J60" s="29"/>
      <c r="K60" s="29" t="s">
        <v>78</v>
      </c>
      <c r="L60" s="19">
        <v>18000</v>
      </c>
      <c r="M60" s="4"/>
      <c r="N60" s="4"/>
    </row>
    <row r="61" spans="9:14" x14ac:dyDescent="0.25">
      <c r="I61" s="17">
        <v>1</v>
      </c>
      <c r="J61" s="29"/>
      <c r="K61" s="29" t="s">
        <v>79</v>
      </c>
      <c r="L61" s="19">
        <v>13000</v>
      </c>
      <c r="M61" s="4"/>
      <c r="N61" s="4"/>
    </row>
    <row r="62" spans="9:14" x14ac:dyDescent="0.25">
      <c r="I62" s="17">
        <v>1</v>
      </c>
      <c r="J62" s="29"/>
      <c r="K62" s="29" t="s">
        <v>80</v>
      </c>
      <c r="L62" s="19">
        <v>23000</v>
      </c>
      <c r="M62" s="4"/>
      <c r="N62" s="4"/>
    </row>
    <row r="63" spans="9:14" x14ac:dyDescent="0.25">
      <c r="I63" s="17">
        <v>1</v>
      </c>
      <c r="J63" s="29"/>
      <c r="K63" s="29" t="s">
        <v>81</v>
      </c>
      <c r="L63" s="19">
        <v>13000</v>
      </c>
      <c r="M63" s="4"/>
      <c r="N63" s="4"/>
    </row>
    <row r="64" spans="9:14" x14ac:dyDescent="0.25">
      <c r="I64" s="17">
        <v>1</v>
      </c>
      <c r="J64" s="29"/>
      <c r="K64" s="29" t="s">
        <v>82</v>
      </c>
      <c r="L64" s="19">
        <v>12000</v>
      </c>
      <c r="M64" s="4"/>
      <c r="N64" s="4"/>
    </row>
    <row r="65" spans="9:14" x14ac:dyDescent="0.25">
      <c r="I65" s="17">
        <v>1</v>
      </c>
      <c r="J65" s="29"/>
      <c r="K65" s="29" t="s">
        <v>83</v>
      </c>
      <c r="L65" s="19">
        <v>15000</v>
      </c>
      <c r="M65" s="4"/>
      <c r="N65" s="4"/>
    </row>
    <row r="66" spans="9:14" x14ac:dyDescent="0.25">
      <c r="I66" s="17">
        <v>1</v>
      </c>
      <c r="J66" s="29"/>
      <c r="K66" s="29" t="s">
        <v>84</v>
      </c>
      <c r="L66" s="19">
        <v>35000</v>
      </c>
      <c r="M66" s="4"/>
      <c r="N66" s="4"/>
    </row>
    <row r="67" spans="9:14" x14ac:dyDescent="0.25">
      <c r="I67" s="17">
        <v>4</v>
      </c>
      <c r="J67" s="29"/>
      <c r="K67" s="29" t="s">
        <v>85</v>
      </c>
      <c r="L67" s="19">
        <f>5000*4</f>
        <v>20000</v>
      </c>
      <c r="M67" s="4"/>
      <c r="N67" s="4"/>
    </row>
    <row r="68" spans="9:14" x14ac:dyDescent="0.25">
      <c r="I68" s="17">
        <v>1</v>
      </c>
      <c r="J68" s="29"/>
      <c r="K68" s="29" t="s">
        <v>86</v>
      </c>
      <c r="L68" s="19">
        <v>7000</v>
      </c>
      <c r="M68" s="4"/>
      <c r="N68" s="4"/>
    </row>
    <row r="69" spans="9:14" x14ac:dyDescent="0.25">
      <c r="I69" s="17">
        <v>1</v>
      </c>
      <c r="J69" s="29"/>
      <c r="K69" s="29" t="s">
        <v>87</v>
      </c>
      <c r="L69" s="19">
        <v>15000</v>
      </c>
      <c r="M69" s="4"/>
      <c r="N69" s="4"/>
    </row>
    <row r="70" spans="9:14" x14ac:dyDescent="0.25">
      <c r="I70" s="17">
        <v>1</v>
      </c>
      <c r="J70" s="29"/>
      <c r="K70" s="29" t="s">
        <v>88</v>
      </c>
      <c r="L70" s="19">
        <v>35000</v>
      </c>
      <c r="M70" s="4"/>
      <c r="N70" s="4"/>
    </row>
    <row r="71" spans="9:14" x14ac:dyDescent="0.25">
      <c r="I71" s="17">
        <v>1</v>
      </c>
      <c r="J71" s="29"/>
      <c r="K71" s="29" t="s">
        <v>89</v>
      </c>
      <c r="L71" s="19">
        <v>40000</v>
      </c>
      <c r="M71" s="4"/>
      <c r="N71" s="4"/>
    </row>
    <row r="72" spans="9:14" x14ac:dyDescent="0.25">
      <c r="I72" s="17">
        <v>1</v>
      </c>
      <c r="J72" s="29"/>
      <c r="K72" s="29" t="s">
        <v>90</v>
      </c>
      <c r="L72" s="19">
        <v>6000</v>
      </c>
      <c r="M72" s="4"/>
      <c r="N72" s="4"/>
    </row>
    <row r="73" spans="9:14" x14ac:dyDescent="0.25">
      <c r="I73" s="17">
        <v>1</v>
      </c>
      <c r="J73" s="29"/>
      <c r="K73" s="29" t="s">
        <v>91</v>
      </c>
      <c r="L73" s="19">
        <v>20000</v>
      </c>
      <c r="M73" s="4"/>
      <c r="N73" s="4"/>
    </row>
    <row r="74" spans="9:14" x14ac:dyDescent="0.25">
      <c r="I74" s="17">
        <v>1</v>
      </c>
      <c r="J74" s="29"/>
      <c r="K74" s="29" t="s">
        <v>92</v>
      </c>
      <c r="L74" s="19">
        <v>25000</v>
      </c>
      <c r="M74" s="4"/>
      <c r="N74" s="4"/>
    </row>
    <row r="75" spans="9:14" x14ac:dyDescent="0.25">
      <c r="I75" s="17">
        <v>1</v>
      </c>
      <c r="J75" s="29"/>
      <c r="K75" s="29" t="s">
        <v>93</v>
      </c>
      <c r="L75" s="19">
        <v>7000</v>
      </c>
      <c r="M75" s="4"/>
      <c r="N75" s="4"/>
    </row>
    <row r="76" spans="9:14" x14ac:dyDescent="0.25">
      <c r="I76" s="17">
        <v>1</v>
      </c>
      <c r="J76" s="29"/>
      <c r="K76" s="29" t="s">
        <v>94</v>
      </c>
      <c r="L76" s="19">
        <v>8000</v>
      </c>
      <c r="M76" s="4"/>
      <c r="N76" s="4"/>
    </row>
    <row r="77" spans="9:14" ht="30" x14ac:dyDescent="0.25">
      <c r="I77" s="17">
        <v>1</v>
      </c>
      <c r="J77" s="29"/>
      <c r="K77" s="29" t="s">
        <v>95</v>
      </c>
      <c r="L77" s="19">
        <v>8000</v>
      </c>
      <c r="M77" s="4"/>
      <c r="N77" s="4"/>
    </row>
    <row r="78" spans="9:14" x14ac:dyDescent="0.25">
      <c r="I78" s="17">
        <v>1</v>
      </c>
      <c r="J78" s="29"/>
      <c r="K78" s="29" t="s">
        <v>96</v>
      </c>
      <c r="L78" s="19">
        <v>22000</v>
      </c>
      <c r="M78" s="4"/>
      <c r="N78" s="4"/>
    </row>
    <row r="79" spans="9:14" x14ac:dyDescent="0.25">
      <c r="I79" s="17">
        <v>1</v>
      </c>
      <c r="J79" s="29"/>
      <c r="K79" s="29" t="s">
        <v>97</v>
      </c>
      <c r="L79" s="19">
        <v>13000</v>
      </c>
      <c r="M79" s="4"/>
      <c r="N79" s="4"/>
    </row>
    <row r="80" spans="9:14" x14ac:dyDescent="0.25">
      <c r="I80" s="17">
        <v>1</v>
      </c>
      <c r="J80" s="29"/>
      <c r="K80" s="29" t="s">
        <v>98</v>
      </c>
      <c r="L80" s="19">
        <v>15000</v>
      </c>
      <c r="M80" s="4"/>
      <c r="N80" s="4"/>
    </row>
    <row r="81" spans="9:14" ht="30" x14ac:dyDescent="0.25">
      <c r="I81" s="17">
        <v>1</v>
      </c>
      <c r="J81" s="29"/>
      <c r="K81" s="29" t="s">
        <v>114</v>
      </c>
      <c r="L81" s="19">
        <v>16000</v>
      </c>
      <c r="M81" s="4"/>
      <c r="N81" s="4"/>
    </row>
    <row r="82" spans="9:14" x14ac:dyDescent="0.25">
      <c r="I82" s="17">
        <v>1</v>
      </c>
      <c r="J82" s="29"/>
      <c r="K82" s="29" t="s">
        <v>99</v>
      </c>
      <c r="L82" s="19">
        <v>25000</v>
      </c>
      <c r="M82" s="4"/>
      <c r="N82" s="4"/>
    </row>
    <row r="83" spans="9:14" x14ac:dyDescent="0.25">
      <c r="I83" s="17">
        <v>1</v>
      </c>
      <c r="J83" s="29"/>
      <c r="K83" s="29" t="s">
        <v>100</v>
      </c>
      <c r="L83" s="19">
        <v>7000</v>
      </c>
      <c r="M83" s="4"/>
      <c r="N83" s="4"/>
    </row>
    <row r="84" spans="9:14" x14ac:dyDescent="0.25">
      <c r="I84" s="17">
        <v>1</v>
      </c>
      <c r="J84" s="29"/>
      <c r="K84" s="29" t="s">
        <v>101</v>
      </c>
      <c r="L84" s="19">
        <v>10000</v>
      </c>
      <c r="M84" s="4"/>
      <c r="N84" s="4"/>
    </row>
    <row r="85" spans="9:14" x14ac:dyDescent="0.25">
      <c r="I85" s="17">
        <v>2</v>
      </c>
      <c r="J85" s="29"/>
      <c r="K85" s="29" t="s">
        <v>102</v>
      </c>
      <c r="L85" s="19">
        <v>9000</v>
      </c>
      <c r="M85" s="4"/>
      <c r="N85" s="4"/>
    </row>
    <row r="86" spans="9:14" x14ac:dyDescent="0.25">
      <c r="I86" s="17">
        <v>2</v>
      </c>
      <c r="J86" s="29"/>
      <c r="K86" s="29" t="s">
        <v>103</v>
      </c>
      <c r="L86" s="19">
        <v>6000</v>
      </c>
      <c r="M86" s="4"/>
      <c r="N86" s="4"/>
    </row>
    <row r="87" spans="9:14" x14ac:dyDescent="0.25">
      <c r="I87" s="17">
        <v>1</v>
      </c>
      <c r="J87" s="29"/>
      <c r="K87" s="29" t="s">
        <v>104</v>
      </c>
      <c r="L87" s="19">
        <v>10000</v>
      </c>
      <c r="M87" s="4"/>
      <c r="N87" s="4"/>
    </row>
    <row r="88" spans="9:14" x14ac:dyDescent="0.25">
      <c r="I88" s="17">
        <v>1</v>
      </c>
      <c r="J88" s="29"/>
      <c r="K88" s="29" t="s">
        <v>105</v>
      </c>
      <c r="L88" s="19">
        <v>10000</v>
      </c>
      <c r="M88" s="4"/>
      <c r="N88" s="4"/>
    </row>
    <row r="89" spans="9:14" x14ac:dyDescent="0.25">
      <c r="I89" s="17">
        <v>1</v>
      </c>
      <c r="J89" s="29"/>
      <c r="K89" s="29" t="s">
        <v>106</v>
      </c>
      <c r="L89" s="19">
        <v>5000</v>
      </c>
      <c r="M89" s="4"/>
      <c r="N89" s="4"/>
    </row>
    <row r="90" spans="9:14" x14ac:dyDescent="0.25">
      <c r="I90" s="5"/>
      <c r="J90" s="14"/>
      <c r="K90" s="14"/>
      <c r="L90" s="8"/>
      <c r="M90" s="4"/>
      <c r="N90" s="4"/>
    </row>
  </sheetData>
  <mergeCells count="5">
    <mergeCell ref="I1:N1"/>
    <mergeCell ref="I2:N2"/>
    <mergeCell ref="I21:N21"/>
    <mergeCell ref="I34:N34"/>
    <mergeCell ref="I44:N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BBF0-7252-4243-876C-67876972869B}">
  <dimension ref="B3:E52"/>
  <sheetViews>
    <sheetView topLeftCell="A2" workbookViewId="0">
      <selection activeCell="B5" sqref="B5:E49"/>
    </sheetView>
  </sheetViews>
  <sheetFormatPr baseColWidth="10" defaultRowHeight="15" x14ac:dyDescent="0.25"/>
  <cols>
    <col min="2" max="2" width="70.7109375" bestFit="1" customWidth="1"/>
  </cols>
  <sheetData>
    <row r="3" spans="2:5" x14ac:dyDescent="0.25">
      <c r="B3" t="s">
        <v>108</v>
      </c>
    </row>
    <row r="4" spans="2:5" x14ac:dyDescent="0.25">
      <c r="B4" t="s">
        <v>109</v>
      </c>
      <c r="C4" t="s">
        <v>110</v>
      </c>
      <c r="D4" t="s">
        <v>111</v>
      </c>
      <c r="E4" t="s">
        <v>112</v>
      </c>
    </row>
    <row r="5" spans="2:5" x14ac:dyDescent="0.25">
      <c r="B5" t="s">
        <v>115</v>
      </c>
      <c r="C5">
        <v>1</v>
      </c>
      <c r="E5" s="30">
        <v>30000</v>
      </c>
    </row>
    <row r="6" spans="2:5" x14ac:dyDescent="0.25">
      <c r="B6" t="s">
        <v>116</v>
      </c>
      <c r="C6">
        <v>1</v>
      </c>
      <c r="E6" s="30">
        <v>40000</v>
      </c>
    </row>
    <row r="7" spans="2:5" x14ac:dyDescent="0.25">
      <c r="B7" t="s">
        <v>66</v>
      </c>
      <c r="C7">
        <v>1</v>
      </c>
      <c r="E7" s="30">
        <v>15000</v>
      </c>
    </row>
    <row r="8" spans="2:5" x14ac:dyDescent="0.25">
      <c r="B8" t="s">
        <v>67</v>
      </c>
      <c r="C8">
        <v>1</v>
      </c>
      <c r="E8" s="30">
        <v>35000</v>
      </c>
    </row>
    <row r="9" spans="2:5" x14ac:dyDescent="0.25">
      <c r="B9" t="s">
        <v>68</v>
      </c>
      <c r="C9">
        <v>1</v>
      </c>
      <c r="E9" s="30">
        <v>8000</v>
      </c>
    </row>
    <row r="10" spans="2:5" x14ac:dyDescent="0.25">
      <c r="B10" t="s">
        <v>69</v>
      </c>
      <c r="C10">
        <v>1</v>
      </c>
      <c r="E10" s="30">
        <v>30000</v>
      </c>
    </row>
    <row r="11" spans="2:5" x14ac:dyDescent="0.25">
      <c r="B11" t="s">
        <v>70</v>
      </c>
      <c r="C11">
        <v>1</v>
      </c>
      <c r="E11" s="30">
        <v>20000</v>
      </c>
    </row>
    <row r="12" spans="2:5" x14ac:dyDescent="0.25">
      <c r="B12" t="s">
        <v>71</v>
      </c>
      <c r="C12">
        <v>3</v>
      </c>
      <c r="E12" s="30">
        <v>6000</v>
      </c>
    </row>
    <row r="13" spans="2:5" x14ac:dyDescent="0.25">
      <c r="B13" t="s">
        <v>72</v>
      </c>
      <c r="C13">
        <v>1</v>
      </c>
      <c r="E13" s="30">
        <v>20000</v>
      </c>
    </row>
    <row r="14" spans="2:5" x14ac:dyDescent="0.25">
      <c r="B14" t="s">
        <v>73</v>
      </c>
      <c r="C14">
        <v>3</v>
      </c>
      <c r="E14" s="30">
        <v>5000</v>
      </c>
    </row>
    <row r="15" spans="2:5" x14ac:dyDescent="0.25">
      <c r="B15" t="s">
        <v>74</v>
      </c>
      <c r="C15">
        <v>1</v>
      </c>
      <c r="E15" s="30">
        <v>6000</v>
      </c>
    </row>
    <row r="16" spans="2:5" x14ac:dyDescent="0.25">
      <c r="B16" t="s">
        <v>75</v>
      </c>
      <c r="C16">
        <v>1</v>
      </c>
      <c r="E16" s="30">
        <v>5500</v>
      </c>
    </row>
    <row r="17" spans="2:5" x14ac:dyDescent="0.25">
      <c r="B17" t="s">
        <v>76</v>
      </c>
      <c r="C17">
        <v>1</v>
      </c>
      <c r="E17" s="30">
        <v>15000</v>
      </c>
    </row>
    <row r="18" spans="2:5" x14ac:dyDescent="0.25">
      <c r="B18" t="s">
        <v>77</v>
      </c>
      <c r="C18">
        <v>1</v>
      </c>
      <c r="E18" s="30">
        <v>19000</v>
      </c>
    </row>
    <row r="19" spans="2:5" x14ac:dyDescent="0.25">
      <c r="B19" t="s">
        <v>78</v>
      </c>
      <c r="C19">
        <v>1</v>
      </c>
      <c r="E19" s="30">
        <v>18000</v>
      </c>
    </row>
    <row r="20" spans="2:5" x14ac:dyDescent="0.25">
      <c r="B20" t="s">
        <v>79</v>
      </c>
      <c r="C20">
        <v>1</v>
      </c>
      <c r="E20" s="30">
        <v>13000</v>
      </c>
    </row>
    <row r="21" spans="2:5" x14ac:dyDescent="0.25">
      <c r="B21" t="s">
        <v>80</v>
      </c>
      <c r="C21">
        <v>1</v>
      </c>
      <c r="E21" s="30">
        <v>23000</v>
      </c>
    </row>
    <row r="22" spans="2:5" x14ac:dyDescent="0.25">
      <c r="B22" t="s">
        <v>81</v>
      </c>
      <c r="C22">
        <v>1</v>
      </c>
      <c r="E22" s="30">
        <v>13000</v>
      </c>
    </row>
    <row r="23" spans="2:5" x14ac:dyDescent="0.25">
      <c r="B23" t="s">
        <v>82</v>
      </c>
      <c r="C23">
        <v>1</v>
      </c>
      <c r="E23" s="30">
        <v>12000</v>
      </c>
    </row>
    <row r="24" spans="2:5" x14ac:dyDescent="0.25">
      <c r="B24" t="s">
        <v>83</v>
      </c>
      <c r="C24">
        <v>1</v>
      </c>
      <c r="E24" s="30">
        <v>15000</v>
      </c>
    </row>
    <row r="25" spans="2:5" x14ac:dyDescent="0.25">
      <c r="B25" t="s">
        <v>84</v>
      </c>
      <c r="C25">
        <v>1</v>
      </c>
      <c r="E25" s="30">
        <v>35000</v>
      </c>
    </row>
    <row r="26" spans="2:5" x14ac:dyDescent="0.25">
      <c r="B26" t="s">
        <v>85</v>
      </c>
      <c r="C26">
        <v>4</v>
      </c>
      <c r="E26" s="30">
        <v>5000</v>
      </c>
    </row>
    <row r="27" spans="2:5" x14ac:dyDescent="0.25">
      <c r="B27" t="s">
        <v>86</v>
      </c>
      <c r="C27">
        <v>1</v>
      </c>
      <c r="E27" s="30">
        <v>7000</v>
      </c>
    </row>
    <row r="28" spans="2:5" x14ac:dyDescent="0.25">
      <c r="B28" t="s">
        <v>87</v>
      </c>
      <c r="C28">
        <v>1</v>
      </c>
      <c r="E28" s="30">
        <v>15000</v>
      </c>
    </row>
    <row r="29" spans="2:5" x14ac:dyDescent="0.25">
      <c r="B29" t="s">
        <v>88</v>
      </c>
      <c r="C29">
        <v>1</v>
      </c>
      <c r="E29" s="30">
        <v>35000</v>
      </c>
    </row>
    <row r="30" spans="2:5" x14ac:dyDescent="0.25">
      <c r="B30" t="s">
        <v>89</v>
      </c>
      <c r="C30">
        <v>1</v>
      </c>
      <c r="E30" s="30">
        <v>40000</v>
      </c>
    </row>
    <row r="31" spans="2:5" x14ac:dyDescent="0.25">
      <c r="B31" t="s">
        <v>90</v>
      </c>
      <c r="C31">
        <v>1</v>
      </c>
      <c r="E31" s="30">
        <v>6000</v>
      </c>
    </row>
    <row r="32" spans="2:5" x14ac:dyDescent="0.25">
      <c r="B32" t="s">
        <v>91</v>
      </c>
      <c r="C32">
        <v>1</v>
      </c>
      <c r="E32" s="30">
        <v>20000</v>
      </c>
    </row>
    <row r="33" spans="2:5" x14ac:dyDescent="0.25">
      <c r="B33" t="s">
        <v>92</v>
      </c>
      <c r="C33">
        <v>1</v>
      </c>
      <c r="E33" s="30">
        <v>25000</v>
      </c>
    </row>
    <row r="34" spans="2:5" x14ac:dyDescent="0.25">
      <c r="B34" t="s">
        <v>93</v>
      </c>
      <c r="C34">
        <v>1</v>
      </c>
      <c r="E34" s="30">
        <v>7000</v>
      </c>
    </row>
    <row r="35" spans="2:5" x14ac:dyDescent="0.25">
      <c r="B35" t="s">
        <v>94</v>
      </c>
      <c r="C35">
        <v>1</v>
      </c>
      <c r="E35" s="30">
        <v>8000</v>
      </c>
    </row>
    <row r="36" spans="2:5" x14ac:dyDescent="0.25">
      <c r="B36" t="s">
        <v>95</v>
      </c>
      <c r="C36">
        <v>1</v>
      </c>
      <c r="E36" s="30">
        <v>8000</v>
      </c>
    </row>
    <row r="37" spans="2:5" x14ac:dyDescent="0.25">
      <c r="B37" t="s">
        <v>114</v>
      </c>
      <c r="C37">
        <v>1</v>
      </c>
      <c r="E37" s="30">
        <v>16000</v>
      </c>
    </row>
    <row r="38" spans="2:5" x14ac:dyDescent="0.25">
      <c r="B38" t="s">
        <v>96</v>
      </c>
      <c r="C38">
        <v>1</v>
      </c>
      <c r="E38" s="30">
        <v>22000</v>
      </c>
    </row>
    <row r="39" spans="2:5" x14ac:dyDescent="0.25">
      <c r="B39" t="s">
        <v>97</v>
      </c>
      <c r="C39">
        <v>1</v>
      </c>
      <c r="E39" s="30">
        <v>13000</v>
      </c>
    </row>
    <row r="40" spans="2:5" x14ac:dyDescent="0.25">
      <c r="B40" t="s">
        <v>98</v>
      </c>
      <c r="C40">
        <v>1</v>
      </c>
      <c r="E40" s="30">
        <v>15000</v>
      </c>
    </row>
    <row r="41" spans="2:5" x14ac:dyDescent="0.25">
      <c r="B41" t="s">
        <v>114</v>
      </c>
      <c r="C41">
        <v>1</v>
      </c>
      <c r="E41" s="30">
        <v>16000</v>
      </c>
    </row>
    <row r="42" spans="2:5" x14ac:dyDescent="0.25">
      <c r="B42" t="s">
        <v>99</v>
      </c>
      <c r="C42">
        <v>1</v>
      </c>
      <c r="E42" s="30">
        <v>25000</v>
      </c>
    </row>
    <row r="43" spans="2:5" x14ac:dyDescent="0.25">
      <c r="B43" t="s">
        <v>100</v>
      </c>
      <c r="C43">
        <v>1</v>
      </c>
      <c r="E43" s="30">
        <v>7000</v>
      </c>
    </row>
    <row r="44" spans="2:5" x14ac:dyDescent="0.25">
      <c r="B44" t="s">
        <v>101</v>
      </c>
      <c r="C44">
        <v>1</v>
      </c>
      <c r="E44" s="30">
        <v>10000</v>
      </c>
    </row>
    <row r="45" spans="2:5" x14ac:dyDescent="0.25">
      <c r="B45" t="s">
        <v>102</v>
      </c>
      <c r="C45">
        <v>2</v>
      </c>
      <c r="E45" s="30">
        <v>4500</v>
      </c>
    </row>
    <row r="46" spans="2:5" x14ac:dyDescent="0.25">
      <c r="B46" t="s">
        <v>103</v>
      </c>
      <c r="C46">
        <v>2</v>
      </c>
      <c r="E46" s="30">
        <v>3000</v>
      </c>
    </row>
    <row r="47" spans="2:5" x14ac:dyDescent="0.25">
      <c r="B47" t="s">
        <v>104</v>
      </c>
      <c r="C47">
        <v>1</v>
      </c>
      <c r="E47" s="30">
        <v>10000</v>
      </c>
    </row>
    <row r="48" spans="2:5" x14ac:dyDescent="0.25">
      <c r="B48" t="s">
        <v>105</v>
      </c>
      <c r="E48" s="30">
        <v>10000</v>
      </c>
    </row>
    <row r="49" spans="2:5" x14ac:dyDescent="0.25">
      <c r="B49" t="s">
        <v>106</v>
      </c>
      <c r="C49">
        <v>1</v>
      </c>
      <c r="E49" s="30">
        <v>5000</v>
      </c>
    </row>
    <row r="50" spans="2:5" x14ac:dyDescent="0.25">
      <c r="E50" s="30">
        <f>+SUM(E5:E49)</f>
        <v>716000</v>
      </c>
    </row>
    <row r="52" spans="2:5" x14ac:dyDescent="0.25">
      <c r="B52" t="s">
        <v>113</v>
      </c>
      <c r="E52" s="30">
        <v>865000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7D26-37F5-476C-B58A-1DC2826AFF09}">
  <dimension ref="A1:F24"/>
  <sheetViews>
    <sheetView topLeftCell="A7" workbookViewId="0">
      <selection activeCell="C36" sqref="C36"/>
    </sheetView>
  </sheetViews>
  <sheetFormatPr baseColWidth="10" defaultRowHeight="15" x14ac:dyDescent="0.25"/>
  <cols>
    <col min="3" max="3" width="80.140625" bestFit="1" customWidth="1"/>
  </cols>
  <sheetData>
    <row r="1" spans="1:6" x14ac:dyDescent="0.25">
      <c r="A1" s="39" t="s">
        <v>34</v>
      </c>
      <c r="B1" s="39"/>
      <c r="C1" s="39"/>
      <c r="D1" s="37"/>
      <c r="E1" s="37"/>
      <c r="F1" s="38"/>
    </row>
    <row r="2" spans="1:6" ht="45" x14ac:dyDescent="0.25">
      <c r="A2" s="1" t="s">
        <v>1</v>
      </c>
      <c r="B2" s="2"/>
      <c r="C2" s="2" t="s">
        <v>2</v>
      </c>
      <c r="D2" s="3" t="s">
        <v>3</v>
      </c>
      <c r="E2" s="4" t="s">
        <v>4</v>
      </c>
      <c r="F2" s="4" t="s">
        <v>5</v>
      </c>
    </row>
    <row r="3" spans="1:6" x14ac:dyDescent="0.25">
      <c r="A3" s="22">
        <v>1</v>
      </c>
      <c r="B3" s="22"/>
      <c r="C3" s="22" t="s">
        <v>35</v>
      </c>
      <c r="D3" s="23">
        <v>13990</v>
      </c>
      <c r="E3" s="24"/>
      <c r="F3" s="24"/>
    </row>
    <row r="4" spans="1:6" x14ac:dyDescent="0.25">
      <c r="A4" s="22">
        <v>1</v>
      </c>
      <c r="B4" s="22"/>
      <c r="C4" s="22" t="s">
        <v>36</v>
      </c>
      <c r="D4" s="23">
        <v>27990</v>
      </c>
      <c r="E4" s="24"/>
      <c r="F4" s="24"/>
    </row>
    <row r="5" spans="1:6" x14ac:dyDescent="0.25">
      <c r="A5" s="22">
        <v>1</v>
      </c>
      <c r="B5" s="22"/>
      <c r="C5" s="22" t="s">
        <v>36</v>
      </c>
      <c r="D5" s="23">
        <v>167391</v>
      </c>
      <c r="E5" s="24"/>
      <c r="F5" s="24"/>
    </row>
    <row r="6" spans="1:6" x14ac:dyDescent="0.25">
      <c r="A6" s="22">
        <v>1</v>
      </c>
      <c r="B6" s="22"/>
      <c r="C6" s="22" t="s">
        <v>37</v>
      </c>
      <c r="D6" s="23">
        <v>17880</v>
      </c>
      <c r="E6" s="24"/>
      <c r="F6" s="24"/>
    </row>
    <row r="7" spans="1:6" x14ac:dyDescent="0.25">
      <c r="A7" s="22">
        <v>1</v>
      </c>
      <c r="B7" s="22"/>
      <c r="C7" s="22" t="s">
        <v>38</v>
      </c>
      <c r="D7" s="23">
        <v>16446</v>
      </c>
      <c r="E7" s="24"/>
      <c r="F7" s="24"/>
    </row>
    <row r="8" spans="1:6" x14ac:dyDescent="0.25">
      <c r="A8" s="22">
        <v>1</v>
      </c>
      <c r="B8" s="22"/>
      <c r="C8" s="22" t="s">
        <v>39</v>
      </c>
      <c r="D8" s="23">
        <v>34790</v>
      </c>
      <c r="E8" s="24"/>
      <c r="F8" s="24"/>
    </row>
    <row r="9" spans="1:6" x14ac:dyDescent="0.25">
      <c r="A9" s="22">
        <v>1</v>
      </c>
      <c r="B9" s="22"/>
      <c r="C9" s="22" t="s">
        <v>40</v>
      </c>
      <c r="D9" s="23">
        <v>31192</v>
      </c>
      <c r="E9" s="24"/>
      <c r="F9" s="24"/>
    </row>
    <row r="10" spans="1:6" x14ac:dyDescent="0.25">
      <c r="A10" s="22">
        <v>1</v>
      </c>
      <c r="B10" s="22"/>
      <c r="C10" s="22" t="s">
        <v>41</v>
      </c>
      <c r="D10" s="23">
        <v>7431</v>
      </c>
      <c r="E10" s="24"/>
      <c r="F10" s="24"/>
    </row>
    <row r="11" spans="1:6" x14ac:dyDescent="0.25">
      <c r="A11" s="22">
        <v>1</v>
      </c>
      <c r="B11" s="22"/>
      <c r="C11" s="22" t="s">
        <v>42</v>
      </c>
      <c r="D11" s="23">
        <v>14599</v>
      </c>
      <c r="E11" s="24"/>
      <c r="F11" s="24"/>
    </row>
    <row r="12" spans="1:6" x14ac:dyDescent="0.25">
      <c r="A12" s="22">
        <v>1</v>
      </c>
      <c r="B12" s="22"/>
      <c r="C12" s="22" t="s">
        <v>43</v>
      </c>
      <c r="D12" s="23">
        <v>4429</v>
      </c>
      <c r="E12" s="24"/>
      <c r="F12" s="24"/>
    </row>
    <row r="13" spans="1:6" x14ac:dyDescent="0.25">
      <c r="A13" s="22">
        <v>1</v>
      </c>
      <c r="B13" s="22"/>
      <c r="C13" s="22" t="s">
        <v>44</v>
      </c>
      <c r="D13" s="23">
        <v>18600</v>
      </c>
      <c r="E13" s="24"/>
      <c r="F13" s="24"/>
    </row>
    <row r="14" spans="1:6" x14ac:dyDescent="0.25">
      <c r="A14" s="22">
        <v>1</v>
      </c>
      <c r="B14" s="22"/>
      <c r="C14" s="22" t="s">
        <v>45</v>
      </c>
      <c r="D14" s="23">
        <v>27641</v>
      </c>
      <c r="E14" s="24"/>
      <c r="F14" s="24"/>
    </row>
    <row r="15" spans="1:6" x14ac:dyDescent="0.25">
      <c r="A15" s="22">
        <v>1</v>
      </c>
      <c r="B15" s="22"/>
      <c r="C15" s="22" t="s">
        <v>46</v>
      </c>
      <c r="D15" s="23">
        <v>14990</v>
      </c>
      <c r="E15" s="24"/>
      <c r="F15" s="24"/>
    </row>
    <row r="16" spans="1:6" x14ac:dyDescent="0.25">
      <c r="A16" s="22">
        <v>1</v>
      </c>
      <c r="B16" s="22"/>
      <c r="C16" s="22" t="s">
        <v>47</v>
      </c>
      <c r="D16" s="23">
        <v>8290</v>
      </c>
      <c r="E16" s="24"/>
      <c r="F16" s="24"/>
    </row>
    <row r="17" spans="1:6" x14ac:dyDescent="0.25">
      <c r="A17" s="15">
        <v>1</v>
      </c>
      <c r="B17" s="6"/>
      <c r="C17" s="6" t="s">
        <v>48</v>
      </c>
      <c r="D17" s="16">
        <v>6989</v>
      </c>
      <c r="E17" s="6"/>
      <c r="F17" s="6"/>
    </row>
    <row r="18" spans="1:6" x14ac:dyDescent="0.25">
      <c r="A18" s="15">
        <v>1</v>
      </c>
      <c r="B18" s="6"/>
      <c r="C18" s="6" t="s">
        <v>49</v>
      </c>
      <c r="D18" s="16">
        <v>6990</v>
      </c>
      <c r="E18" s="6"/>
      <c r="F18" s="6"/>
    </row>
    <row r="19" spans="1:6" x14ac:dyDescent="0.25">
      <c r="A19" s="5">
        <v>1</v>
      </c>
      <c r="B19" s="15"/>
      <c r="C19" s="5" t="s">
        <v>50</v>
      </c>
      <c r="D19" s="16">
        <v>9697</v>
      </c>
      <c r="E19" s="6"/>
      <c r="F19" s="6"/>
    </row>
    <row r="20" spans="1:6" x14ac:dyDescent="0.25">
      <c r="A20" s="5">
        <v>1</v>
      </c>
      <c r="B20" s="15"/>
      <c r="C20" s="5" t="s">
        <v>51</v>
      </c>
      <c r="D20" s="16">
        <v>6501</v>
      </c>
      <c r="E20" s="6"/>
      <c r="F20" s="6"/>
    </row>
    <row r="21" spans="1:6" x14ac:dyDescent="0.25">
      <c r="A21" s="5">
        <v>1</v>
      </c>
      <c r="B21" s="15"/>
      <c r="C21" s="5" t="s">
        <v>52</v>
      </c>
      <c r="D21" s="16">
        <v>5175</v>
      </c>
      <c r="E21" s="6"/>
      <c r="F21" s="6"/>
    </row>
    <row r="22" spans="1:6" x14ac:dyDescent="0.25">
      <c r="A22" s="5">
        <v>1</v>
      </c>
      <c r="B22" s="15"/>
      <c r="C22" s="5" t="s">
        <v>53</v>
      </c>
      <c r="D22" s="16">
        <v>12990</v>
      </c>
      <c r="E22" s="6"/>
      <c r="F22" s="6"/>
    </row>
    <row r="23" spans="1:6" x14ac:dyDescent="0.25">
      <c r="A23" s="5">
        <v>2</v>
      </c>
      <c r="B23" s="15"/>
      <c r="C23" s="5" t="s">
        <v>54</v>
      </c>
      <c r="D23" s="16">
        <v>6640</v>
      </c>
      <c r="E23" s="6"/>
      <c r="F23" s="6"/>
    </row>
    <row r="24" spans="1:6" x14ac:dyDescent="0.25">
      <c r="A24" s="5">
        <v>2</v>
      </c>
      <c r="B24" s="15"/>
      <c r="C24" s="5" t="s">
        <v>55</v>
      </c>
      <c r="D24" s="16">
        <v>6593</v>
      </c>
      <c r="E24" s="6"/>
      <c r="F24" s="6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JUEGOS</vt:lpstr>
      <vt:lpstr>DEPTO. SALUD</vt:lpstr>
      <vt:lpstr>Hoja1</vt:lpstr>
      <vt:lpstr>KINE</vt:lpstr>
      <vt:lpstr>Hoja1!Columpio_Sensorial_Acolchado_Resistente_</vt:lpstr>
      <vt:lpstr>Hoja1!IQ_Puzzler_Pro__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PROMOCION SALUD</dc:creator>
  <cp:lastModifiedBy>PROMOCION SALUD</cp:lastModifiedBy>
  <dcterms:created xsi:type="dcterms:W3CDTF">2026-08-06T19:38:19Z</dcterms:created>
  <dcterms:modified xsi:type="dcterms:W3CDTF">2026-10-14T18:46:22Z</dcterms:modified>
</cp:coreProperties>
</file>