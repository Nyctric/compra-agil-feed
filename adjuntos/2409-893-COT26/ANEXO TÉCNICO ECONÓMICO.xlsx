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G:\.shortcut-targets-by-id\1CSCgKKj9Buowyk5073Hfne8iJDR4ujMB\CARPETA VERDE\2026\Liceos\F-908\COMPRA ÁGIL\490\"/>
    </mc:Choice>
  </mc:AlternateContent>
  <xr:revisionPtr revIDLastSave="0" documentId="13_ncr:1_{C1DEC835-4B2F-4F98-8A89-92727DA8192A}" xr6:coauthVersionLast="47" xr6:coauthVersionMax="47" xr10:uidLastSave="{00000000-0000-0000-0000-000000000000}"/>
  <bookViews>
    <workbookView xWindow="28680" yWindow="-120" windowWidth="29040" windowHeight="15720" xr2:uid="{00000000-000D-0000-FFFF-FFFF00000000}"/>
  </bookViews>
  <sheets>
    <sheet name="Hoja1" sheetId="1" r:id="rId1"/>
  </sheets>
  <definedNames>
    <definedName name="_xlnm.Print_Area" localSheetId="0">Hoja1!$A$1:$G$105</definedName>
    <definedName name="_xlnm.Print_Titles" localSheetId="0">Hoja1!$10:$10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5" i="1" l="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13" i="1"/>
  <c r="G14" i="1"/>
  <c r="G15" i="1"/>
  <c r="G16" i="1"/>
  <c r="G17" i="1"/>
  <c r="G18" i="1"/>
  <c r="G19" i="1"/>
  <c r="G20" i="1"/>
  <c r="G21" i="1"/>
  <c r="G22" i="1"/>
  <c r="G23" i="1"/>
  <c r="G24" i="1"/>
  <c r="G25" i="1"/>
  <c r="G26" i="1"/>
  <c r="G27" i="1"/>
  <c r="G28" i="1"/>
  <c r="G29" i="1"/>
  <c r="G30" i="1"/>
  <c r="G31" i="1"/>
  <c r="G32" i="1"/>
  <c r="G33" i="1"/>
  <c r="G34" i="1"/>
  <c r="G12" i="1"/>
  <c r="G11" i="1"/>
  <c r="G90" i="1" l="1"/>
  <c r="G91" i="1" l="1"/>
  <c r="G92" i="1" s="1"/>
</calcChain>
</file>

<file path=xl/sharedStrings.xml><?xml version="1.0" encoding="utf-8"?>
<sst xmlns="http://schemas.openxmlformats.org/spreadsheetml/2006/main" count="181" uniqueCount="103">
  <si>
    <t>IMPUESTO (19%)</t>
  </si>
  <si>
    <t>Los Ángeles, ___________________________  (día/mes/año)</t>
  </si>
  <si>
    <t>SUB TOTAL</t>
  </si>
  <si>
    <t>NOMBRE Y FIRMA OFERENTE O REPRESENTANTE LEGAL</t>
  </si>
  <si>
    <t>ANEXO TÉCNICO ECONÓMICO</t>
  </si>
  <si>
    <t>RAZON SOCIAL:</t>
  </si>
  <si>
    <t>RUT:</t>
  </si>
  <si>
    <t>CONTACTO:</t>
  </si>
  <si>
    <t>CORREO ELECTRONICO:</t>
  </si>
  <si>
    <t>PLAZO DE ENTREGA  ______ DÍAS HÁBILES (lunes a viernes).</t>
  </si>
  <si>
    <t>Cantidad</t>
  </si>
  <si>
    <t>Unidad de Medida</t>
  </si>
  <si>
    <t>Precio Unitario</t>
  </si>
  <si>
    <t>Precio Total</t>
  </si>
  <si>
    <t>Descripción</t>
  </si>
  <si>
    <t>Item</t>
  </si>
  <si>
    <t xml:space="preserve">DE LA OFERTA PRESENTADA: </t>
  </si>
  <si>
    <t>Es obligatorio que la descripción de cada producto sea completa y detallada.  En caso de ser necesario, se debe complementar la información con una ficha técnica; de igual forma, si la ficha técnica es requerida explícitamente en las especificaciones, su entrega tendrá un carácter obligatorio para la validez de la oferta.                                                                                                                                                                                   No se aceptarán cotizaciones parciales ni ofertas que utilicen frases genéricas como "se cumple con lo requerido" o "se oferta con lo requerido" o "según especificaciones técnicas" u otra similar.   Así mismo, no se aceptarán ofertas que sean simplemente un "copiar y pegar" de lo solicitado; debe mencionar toda la descripción del bien o servicio ofertado y las condiciones establecidas en el proceso (plazo de entrega, validez de la oferta, entre otro).</t>
  </si>
  <si>
    <t>Descripción Productos</t>
  </si>
  <si>
    <t xml:space="preserve">Superior a 15 días hábiles o no indica plazo, la cotización no será considerada en el proceso de evaluación.      
</t>
  </si>
  <si>
    <t>TOTAL</t>
  </si>
  <si>
    <t xml:space="preserve">UNIDAD </t>
  </si>
  <si>
    <t>Gafas de seguridad o antiparras (15 × 5 × 5 cm)</t>
  </si>
  <si>
    <t>cajas de 100 un Guantes de nitrilo (Talla S, M, L, XL) 3 de cada talla</t>
  </si>
  <si>
    <t>cajas de 100 un Mascarillas (10 × 8 × 6 cm)</t>
  </si>
  <si>
    <t>Vasos de precipitado de vidrio (50 mL)</t>
  </si>
  <si>
    <t>Vasos de precipitado de vidrio (100 mL)</t>
  </si>
  <si>
    <t>Vasos de precipitado de vidrio (250 mL)</t>
  </si>
  <si>
    <t>Vasos de precipitado de vidrio (500 mL)</t>
  </si>
  <si>
    <t>Probetas graduadas de vidrio (250 mL)</t>
  </si>
  <si>
    <t>Matraces Erlenmeyer de vidrio (50 mL)</t>
  </si>
  <si>
    <t>Matraces Erlenmeyer de vidrio (250 mL)</t>
  </si>
  <si>
    <t>Matraces aforados de vidrio (250 mL)</t>
  </si>
  <si>
    <t>Matraces aforados de vidrio (50 mL)</t>
  </si>
  <si>
    <t>Tubo de ensayo de vidrio (13 x 100 mm)</t>
  </si>
  <si>
    <t>Tubo de ensayo de vidrio (16 x 150 mm)</t>
  </si>
  <si>
    <t>Tubo de ensayo de vidrio (18 x 150 mm)</t>
  </si>
  <si>
    <t>Pipeta graduada de vidrio (5 mL)</t>
  </si>
  <si>
    <t>Pipeta graduada de vidrio (10 mL)</t>
  </si>
  <si>
    <t>Pipeta graduada de vidrio (25 mL)</t>
  </si>
  <si>
    <t>Embudos de vidrio (50-100mm)</t>
  </si>
  <si>
    <t>Micropipeta P1000 (100-1000 µL)</t>
  </si>
  <si>
    <t>Varillas de agitación vidrio 15 cm</t>
  </si>
  <si>
    <t>Varillas de agitación vidrio 20 cm</t>
  </si>
  <si>
    <t>Varillas de agitación vidrio 25 cm</t>
  </si>
  <si>
    <t>Mortero porcelana (80 mm) con pistilo (12-14 cm)</t>
  </si>
  <si>
    <t>Placas Petri (90 mm)</t>
  </si>
  <si>
    <t>Pisetas plásticas de 250 mL</t>
  </si>
  <si>
    <t>Balanza digital (20–25 cm de ancho, 20–30 cm de profundidad y tener un plato de pesaje de 9–15 cm, con precisión entre 0,01 g y 0,1 g)</t>
  </si>
  <si>
    <t>Mechero  (12-15 cm)Mechero de laboratorio para calentamiento, de metal resistente, con base estable, entrada de gas y regulación de aire y llama.</t>
  </si>
  <si>
    <t>Placa calentadora (20–30 cm de ancho, 20–30 cm de profundidad y tener una superficie de calentamiento de 12–18 cm)</t>
  </si>
  <si>
    <t>Agitador magnético (15–25 cm de ancho, 15–25 cm de profundidad y 6–12 cm de altura, con una barra magnética de 2 a 5 cm)</t>
  </si>
  <si>
    <t>Termómetros (25–30 cm de largo, con un diámetro de 6–8 mm y un rango aproximado de −10 °C a 110 °C)</t>
  </si>
  <si>
    <t>Microscopios binoculares (30–40 cm de altura, 15–20 cm de ancho y 20–25 cm de profundidad, con aumentos de hasta 400×)</t>
  </si>
  <si>
    <t>Lupas estereoscópicas (25–35 cm de altura, con base de 15–20 cm de ancho y 20–25 cm de profundidad, platina de 8–12 cm, y permite aumentos de 10× a 40×)</t>
  </si>
  <si>
    <t>Centrifuga 20–30 cm de ancho, 25–35 cm de profundidad y 15–25 cm de alto, con rotor de 10–15 cm de diámetro y capacidad para 6–24 tubos pequeños)</t>
  </si>
  <si>
    <t>Embudos de vidrio (12–15 cm de altura, con diámetros de boca entre 6 y 8 cm y tubos de 8-10 cm de longitud)</t>
  </si>
  <si>
    <t>Embudos de plástico (8–10 cm de altura, con diámetros de boca entre 3 y 5 cm y tubos de 5–7 cm de longitud)</t>
  </si>
  <si>
    <t>Portaobjetos (75 × 25 mm, espesor 1–1,2 mm)</t>
  </si>
  <si>
    <t>Cubreobjetos (18–22 mm)</t>
  </si>
  <si>
    <t>Cubreobjetos (22–22 mm)</t>
  </si>
  <si>
    <t>Preparaciones microscópicas Histológicas Biología I, II y III, Láminas de vidrio con muestras biológicas (tejidos, células o microorganismos), preparadas, teñidas y selladas, listas para observación en microscopio.</t>
  </si>
  <si>
    <t>Modelos anatómicos Célula Animal, Modelo tridimensional ampliado, desmontable, que representa las partes de la célula animal, fabricado en material plástico resistente.</t>
  </si>
  <si>
    <t>Modelos anatómicos Célula vegetal, Modelo tridimensional ampliado que muestra estructuras como pared celular, cloroplastos y vacuola, elaborado en material duradero</t>
  </si>
  <si>
    <t>Modelo anatómico Cráneo, Representación del cráneo humano, tamaño real o reducido, desmontable, con identificación de partes óseas.</t>
  </si>
  <si>
    <t>Modelo anatómico Tallo de planta, Modelo didáctico ampliado que muestra la estructura interna del tallo vegetal (tejidos conductores), fabricado en material plástico.</t>
  </si>
  <si>
    <t>Set de modelo molecular química orgánica, Kit de piezas (átomos y enlaces) para construir moléculas orgánicas, en plástico resistente, reutilizable y didáctico.</t>
  </si>
  <si>
    <t>Modelo anatómico cerebro desmontable, Modelo tridimensional del cerebro humano, desmontable en secciones, con identificación de estructuras principales.</t>
  </si>
  <si>
    <t>Soportes universales (60 cm)Base metálica pesada con varilla de 60 cm de acero, resistente a corrosión, apto para sujetar accesorios de laboratorio.</t>
  </si>
  <si>
    <t>Pinzas para buretas (12 × 3 × 8 cm)Pinza metálica con ajuste (tornillo/nuez), con recubrimiento en las puntas para sujetar buretas de forma segura</t>
  </si>
  <si>
    <t>Pinzas para vasos de precipitado (26 × 10 × 1 cm)Pinza tipo tenaza de acero, con mangos aislados, apta para manipular recipientes calientes.</t>
  </si>
  <si>
    <t>Buretas de vidrio (25 mL)De vidrio borosilicato, graduadas, con llave de paso y alta precisión para medición de líquidos.</t>
  </si>
  <si>
    <t>Buretas de vidrio (50 mL)De vidrio borosilicato, graduadas, con llave de paso y alta precisión para medición de líquidos.</t>
  </si>
  <si>
    <t>Trípodes metálicos (15 x 15 cm)Estructura de tres patas de acero, resistente a altas temperaturas, para uso con mechero.</t>
  </si>
  <si>
    <t>Rejillas metálicas (15 x 15 cm)Malla metálica con centro cerámico, utilizada para distribuir el calor sobre el trípode.</t>
  </si>
  <si>
    <t>Espátulas hoja 100 mm (19 × 2 × 1 cm)De acero inoxidable, resistente a químicos, para manipulación de sólidos.</t>
  </si>
  <si>
    <t>Ácido clorhídrico diluido, botella 1 L</t>
  </si>
  <si>
    <t>Ácido acético, botella 1 L</t>
  </si>
  <si>
    <t>Hidróxido de sodio, 500 grs</t>
  </si>
  <si>
    <t>Cloruro de sodio, 1 kg</t>
  </si>
  <si>
    <t>Sulfato de cobre, 500 grs</t>
  </si>
  <si>
    <t>Bicarbonato de sodio, 1 kg</t>
  </si>
  <si>
    <t>Alcohol etílico, 1 L</t>
  </si>
  <si>
    <t>Fenolftaleína, 100 ml</t>
  </si>
  <si>
    <t>Cajas  x 100 tiras de Papel indicador de pH</t>
  </si>
  <si>
    <t>Agua destilada, bidon 5 L</t>
  </si>
  <si>
    <t>Ácido sulfúrico diluido, 500 ml</t>
  </si>
  <si>
    <t>Hidróxido de calcio, 500 grs</t>
  </si>
  <si>
    <t>Amoniaco diluido, 500 ml</t>
  </si>
  <si>
    <t>Carbonato de sodio, 500 grs</t>
  </si>
  <si>
    <t>Permanganato de potasio, 100 grs</t>
  </si>
  <si>
    <t>Peróxido de hidrogeno, 1 L</t>
  </si>
  <si>
    <t>Kit de 3 sobres indicadores de PH universal</t>
  </si>
  <si>
    <t>Azul de bromotimol, 100 ml</t>
  </si>
  <si>
    <t>Naranja de metilo, 100 ml</t>
  </si>
  <si>
    <t>Lugol (solución de yodo), 500 ml</t>
  </si>
  <si>
    <t>Azul de metileno, 100 ml</t>
  </si>
  <si>
    <t>Glicerina liquida, 500 ml</t>
  </si>
  <si>
    <t>Agar nutritivo, 250 grs</t>
  </si>
  <si>
    <t>Glucosa, 250 grs</t>
  </si>
  <si>
    <t>Almidón soluble, 250 grs</t>
  </si>
  <si>
    <t>RECURSOS EDUCATIVOS CIENCIAS TICS DEL LICEO LLANO BLANCO</t>
  </si>
  <si>
    <t>COMPRA AGIL ID 2409-893-COT26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</si>
</sst>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quot;* #,##0_ ;_ &quot;$&quot;* \-#,##0_ ;_ &quot;$&quot;* &quot;-&quot;_ ;_ @_ "/>
  </numFmts>
  <fonts count="9" x14ac:knownFonts="1">
    <font>
      <sz val="11"/>
      <color theme="1"/>
      <name val="Calibri"/>
      <family val="2"/>
      <scheme val="minor"/>
    </font>
    <font>
      <b/>
      <sz val="11"/>
      <color theme="1"/>
      <name val="Arial"/>
      <family val="2"/>
    </font>
    <font>
      <sz val="11"/>
      <color theme="1"/>
      <name val="Arial"/>
      <family val="2"/>
    </font>
    <font>
      <sz val="10"/>
      <color theme="1"/>
      <name val="Arial"/>
      <family val="2"/>
    </font>
    <font>
      <sz val="8"/>
      <color theme="1"/>
      <name val="Arial"/>
      <family val="2"/>
    </font>
    <font>
      <sz val="10"/>
      <name val="Arial"/>
      <family val="2"/>
    </font>
    <font>
      <b/>
      <sz val="8"/>
      <color theme="1"/>
      <name val="Arial"/>
      <family val="2"/>
    </font>
    <font>
      <sz val="8"/>
      <name val="Arial"/>
      <family val="2"/>
    </font>
    <font>
      <b/>
      <sz val="9"/>
      <color theme="1"/>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bgColor theme="0"/>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5" fillId="0" borderId="0"/>
  </cellStyleXfs>
  <cellXfs count="47">
    <xf numFmtId="0" fontId="0" fillId="0" borderId="0" xfId="0"/>
    <xf numFmtId="0" fontId="2" fillId="0" borderId="0" xfId="0" applyFont="1"/>
    <xf numFmtId="0" fontId="2" fillId="0" borderId="0" xfId="0" applyFont="1" applyAlignment="1">
      <alignment horizontal="center"/>
    </xf>
    <xf numFmtId="0" fontId="2" fillId="0" borderId="0" xfId="0" applyFont="1" applyAlignment="1"/>
    <xf numFmtId="0" fontId="1" fillId="0" borderId="0" xfId="0" applyFont="1" applyAlignment="1">
      <alignment horizontal="center" vertical="center"/>
    </xf>
    <xf numFmtId="0" fontId="1" fillId="0" borderId="0" xfId="0" applyFont="1" applyAlignment="1">
      <alignment horizontal="center" vertical="center"/>
    </xf>
    <xf numFmtId="164" fontId="2" fillId="0" borderId="0" xfId="0" applyNumberFormat="1" applyFont="1" applyAlignment="1">
      <alignment horizontal="center"/>
    </xf>
    <xf numFmtId="164" fontId="2" fillId="0" borderId="0" xfId="0" applyNumberFormat="1" applyFont="1" applyBorder="1" applyAlignment="1">
      <alignment horizontal="center"/>
    </xf>
    <xf numFmtId="0" fontId="1"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164" fontId="2" fillId="0" borderId="0" xfId="0" applyNumberFormat="1" applyFont="1" applyAlignment="1">
      <alignment horizontal="center" vertical="center" wrapText="1"/>
    </xf>
    <xf numFmtId="164" fontId="2" fillId="0" borderId="0" xfId="0" applyNumberFormat="1" applyFont="1" applyAlignment="1">
      <alignment vertical="center"/>
    </xf>
    <xf numFmtId="0" fontId="2" fillId="0" borderId="0" xfId="0" applyFont="1" applyBorder="1" applyAlignment="1">
      <alignment horizontal="left" vertical="center"/>
    </xf>
    <xf numFmtId="0" fontId="2" fillId="0" borderId="0" xfId="0" applyFont="1" applyAlignment="1">
      <alignment horizontal="left" vertical="center"/>
    </xf>
    <xf numFmtId="0" fontId="3" fillId="0" borderId="0" xfId="0" applyFont="1" applyBorder="1" applyAlignment="1">
      <alignment horizontal="left" vertical="center" wrapText="1"/>
    </xf>
    <xf numFmtId="0" fontId="6" fillId="0"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4" fillId="3" borderId="1" xfId="1" applyFont="1" applyFill="1" applyBorder="1" applyAlignment="1">
      <alignment horizontal="center" vertical="center"/>
    </xf>
    <xf numFmtId="0" fontId="7" fillId="4"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164" fontId="4" fillId="0" borderId="1" xfId="0" applyNumberFormat="1"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164" fontId="4" fillId="0" borderId="1" xfId="0" applyNumberFormat="1" applyFont="1" applyBorder="1" applyAlignment="1">
      <alignment horizontal="center" vertical="center"/>
    </xf>
    <xf numFmtId="0" fontId="4" fillId="0" borderId="0" xfId="0" applyFont="1" applyAlignment="1">
      <alignment vertical="center"/>
    </xf>
    <xf numFmtId="0" fontId="8" fillId="2" borderId="1" xfId="0" applyFont="1" applyFill="1" applyBorder="1" applyAlignment="1">
      <alignment horizontal="center" vertical="center" wrapText="1"/>
    </xf>
    <xf numFmtId="164" fontId="8" fillId="2" borderId="1" xfId="0" applyNumberFormat="1" applyFont="1" applyFill="1" applyBorder="1" applyAlignment="1">
      <alignment horizontal="center" vertical="center" wrapText="1"/>
    </xf>
    <xf numFmtId="0" fontId="8" fillId="0" borderId="0" xfId="0" applyFont="1" applyAlignment="1">
      <alignment horizontal="center" vertical="center" wrapText="1"/>
    </xf>
    <xf numFmtId="0" fontId="2" fillId="0" borderId="0" xfId="0" applyFont="1" applyBorder="1" applyAlignment="1">
      <alignment horizontal="left" vertical="center" wrapText="1"/>
    </xf>
    <xf numFmtId="0" fontId="3" fillId="0" borderId="0" xfId="0" applyFont="1" applyBorder="1" applyAlignment="1">
      <alignment horizontal="center" vertical="center" wrapText="1"/>
    </xf>
    <xf numFmtId="0" fontId="4" fillId="0" borderId="1" xfId="0" applyFont="1" applyBorder="1" applyAlignment="1">
      <alignment horizontal="righ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3" fillId="0" borderId="0" xfId="0" applyFont="1" applyAlignment="1">
      <alignment horizontal="left" vertical="center"/>
    </xf>
    <xf numFmtId="0" fontId="4" fillId="0" borderId="1" xfId="0" applyFont="1" applyBorder="1" applyAlignment="1">
      <alignment horizontal="right" vertical="center"/>
    </xf>
    <xf numFmtId="0" fontId="2" fillId="0" borderId="0" xfId="0" applyFont="1" applyAlignment="1">
      <alignment horizontal="left" vertical="center" wrapText="1"/>
    </xf>
    <xf numFmtId="0" fontId="3" fillId="0" borderId="2" xfId="0" applyFont="1" applyBorder="1" applyAlignment="1">
      <alignment horizontal="center" vertical="center"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wrapText="1"/>
    </xf>
    <xf numFmtId="0" fontId="7" fillId="0" borderId="1" xfId="0" applyFont="1" applyFill="1" applyBorder="1" applyAlignment="1">
      <alignment horizontal="left" vertical="center" wrapText="1"/>
    </xf>
    <xf numFmtId="0" fontId="4" fillId="0" borderId="1" xfId="1" applyFont="1" applyFill="1" applyBorder="1" applyAlignment="1">
      <alignment horizontal="center" vertical="center"/>
    </xf>
    <xf numFmtId="0" fontId="7" fillId="0" borderId="1" xfId="0" applyFont="1" applyFill="1" applyBorder="1" applyAlignment="1">
      <alignment horizontal="center" vertical="center" wrapText="1"/>
    </xf>
  </cellXfs>
  <cellStyles count="2">
    <cellStyle name="Normal" xfId="0" builtinId="0"/>
    <cellStyle name="Normal 3" xfId="1" xr:uid="{EA260ACD-2624-46F0-AF41-4D6B59C779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5"/>
  <sheetViews>
    <sheetView showGridLines="0" tabSelected="1" view="pageBreakPreview" zoomScale="175" zoomScaleNormal="100" zoomScaleSheetLayoutView="175" workbookViewId="0">
      <selection activeCell="A3" sqref="A3:G3"/>
    </sheetView>
  </sheetViews>
  <sheetFormatPr baseColWidth="10" defaultColWidth="11.42578125" defaultRowHeight="14.25" x14ac:dyDescent="0.2"/>
  <cols>
    <col min="1" max="1" width="5.7109375" style="2" customWidth="1"/>
    <col min="2" max="2" width="46.28515625" style="14" customWidth="1"/>
    <col min="3" max="3" width="8.85546875" style="2" customWidth="1"/>
    <col min="4" max="4" width="8.7109375" style="2" customWidth="1"/>
    <col min="5" max="5" width="33.5703125" style="2" customWidth="1"/>
    <col min="6" max="6" width="13" style="6" customWidth="1"/>
    <col min="7" max="7" width="15.140625" style="6" customWidth="1"/>
    <col min="8" max="16384" width="11.42578125" style="1"/>
  </cols>
  <sheetData>
    <row r="1" spans="1:7" ht="24.95" customHeight="1" x14ac:dyDescent="0.2">
      <c r="A1" s="34" t="s">
        <v>4</v>
      </c>
      <c r="B1" s="34"/>
      <c r="C1" s="34"/>
      <c r="D1" s="34"/>
      <c r="E1" s="34"/>
      <c r="F1" s="34"/>
      <c r="G1" s="34"/>
    </row>
    <row r="2" spans="1:7" ht="24.95" customHeight="1" x14ac:dyDescent="0.2">
      <c r="A2" s="34" t="s">
        <v>102</v>
      </c>
      <c r="B2" s="34"/>
      <c r="C2" s="34"/>
      <c r="D2" s="34"/>
      <c r="E2" s="34"/>
      <c r="F2" s="34"/>
      <c r="G2" s="34"/>
    </row>
    <row r="3" spans="1:7" ht="24.95" customHeight="1" x14ac:dyDescent="0.2">
      <c r="A3" s="33" t="s">
        <v>101</v>
      </c>
      <c r="B3" s="33"/>
      <c r="C3" s="33"/>
      <c r="D3" s="33"/>
      <c r="E3" s="33"/>
      <c r="F3" s="33"/>
      <c r="G3" s="33"/>
    </row>
    <row r="4" spans="1:7" ht="25.5" customHeight="1" x14ac:dyDescent="0.2">
      <c r="A4" s="8"/>
      <c r="B4" s="9"/>
      <c r="C4" s="10"/>
      <c r="D4" s="10"/>
      <c r="E4" s="10"/>
      <c r="F4" s="10"/>
      <c r="G4" s="10"/>
    </row>
    <row r="5" spans="1:7" ht="20.100000000000001" customHeight="1" x14ac:dyDescent="0.2">
      <c r="A5" s="4"/>
      <c r="B5" s="13" t="s">
        <v>5</v>
      </c>
      <c r="C5" s="41"/>
      <c r="D5" s="41"/>
      <c r="E5" s="41"/>
      <c r="F5" s="41"/>
      <c r="G5" s="11"/>
    </row>
    <row r="6" spans="1:7" ht="20.100000000000001" customHeight="1" x14ac:dyDescent="0.2">
      <c r="A6" s="4"/>
      <c r="B6" s="13" t="s">
        <v>6</v>
      </c>
      <c r="C6" s="42"/>
      <c r="D6" s="42"/>
      <c r="E6" s="42"/>
      <c r="F6" s="42"/>
      <c r="G6" s="11"/>
    </row>
    <row r="7" spans="1:7" ht="20.100000000000001" customHeight="1" x14ac:dyDescent="0.2">
      <c r="A7" s="5"/>
      <c r="B7" s="13" t="s">
        <v>8</v>
      </c>
      <c r="C7" s="42"/>
      <c r="D7" s="42"/>
      <c r="E7" s="42"/>
      <c r="F7" s="42"/>
      <c r="G7" s="11"/>
    </row>
    <row r="8" spans="1:7" ht="20.100000000000001" customHeight="1" x14ac:dyDescent="0.2">
      <c r="A8" s="4"/>
      <c r="B8" s="13" t="s">
        <v>7</v>
      </c>
      <c r="C8" s="42"/>
      <c r="D8" s="42"/>
      <c r="E8" s="42"/>
      <c r="F8" s="42"/>
      <c r="G8" s="12"/>
    </row>
    <row r="9" spans="1:7" ht="43.5" customHeight="1" x14ac:dyDescent="0.2"/>
    <row r="10" spans="1:7" s="29" customFormat="1" ht="36" customHeight="1" x14ac:dyDescent="0.25">
      <c r="A10" s="27" t="s">
        <v>15</v>
      </c>
      <c r="B10" s="27" t="s">
        <v>14</v>
      </c>
      <c r="C10" s="27" t="s">
        <v>10</v>
      </c>
      <c r="D10" s="27" t="s">
        <v>11</v>
      </c>
      <c r="E10" s="27" t="s">
        <v>18</v>
      </c>
      <c r="F10" s="28" t="s">
        <v>12</v>
      </c>
      <c r="G10" s="28" t="s">
        <v>13</v>
      </c>
    </row>
    <row r="11" spans="1:7" s="22" customFormat="1" ht="35.1" customHeight="1" x14ac:dyDescent="0.25">
      <c r="A11" s="16">
        <v>1</v>
      </c>
      <c r="B11" s="17" t="s">
        <v>22</v>
      </c>
      <c r="C11" s="18">
        <v>30</v>
      </c>
      <c r="D11" s="19" t="s">
        <v>21</v>
      </c>
      <c r="E11" s="20"/>
      <c r="F11" s="21"/>
      <c r="G11" s="21">
        <f>C11*F11</f>
        <v>0</v>
      </c>
    </row>
    <row r="12" spans="1:7" s="22" customFormat="1" ht="35.1" customHeight="1" x14ac:dyDescent="0.25">
      <c r="A12" s="16">
        <v>2</v>
      </c>
      <c r="B12" s="44" t="s">
        <v>23</v>
      </c>
      <c r="C12" s="45">
        <v>12</v>
      </c>
      <c r="D12" s="46" t="s">
        <v>21</v>
      </c>
      <c r="E12" s="20"/>
      <c r="F12" s="21"/>
      <c r="G12" s="21">
        <f>F11*C11</f>
        <v>0</v>
      </c>
    </row>
    <row r="13" spans="1:7" s="22" customFormat="1" ht="35.1" customHeight="1" x14ac:dyDescent="0.25">
      <c r="A13" s="16">
        <v>3</v>
      </c>
      <c r="B13" s="17" t="s">
        <v>24</v>
      </c>
      <c r="C13" s="18">
        <v>2</v>
      </c>
      <c r="D13" s="19" t="s">
        <v>21</v>
      </c>
      <c r="E13" s="20"/>
      <c r="F13" s="21"/>
      <c r="G13" s="21">
        <f t="shared" ref="G13:G89" si="0">F12*C12</f>
        <v>0</v>
      </c>
    </row>
    <row r="14" spans="1:7" s="22" customFormat="1" ht="35.1" customHeight="1" x14ac:dyDescent="0.25">
      <c r="A14" s="16">
        <v>4</v>
      </c>
      <c r="B14" s="17" t="s">
        <v>25</v>
      </c>
      <c r="C14" s="18">
        <v>10</v>
      </c>
      <c r="D14" s="19" t="s">
        <v>21</v>
      </c>
      <c r="E14" s="20"/>
      <c r="F14" s="21"/>
      <c r="G14" s="21">
        <f t="shared" si="0"/>
        <v>0</v>
      </c>
    </row>
    <row r="15" spans="1:7" s="22" customFormat="1" ht="35.1" customHeight="1" x14ac:dyDescent="0.25">
      <c r="A15" s="16">
        <v>5</v>
      </c>
      <c r="B15" s="17" t="s">
        <v>26</v>
      </c>
      <c r="C15" s="18">
        <v>20</v>
      </c>
      <c r="D15" s="19" t="s">
        <v>21</v>
      </c>
      <c r="E15" s="20"/>
      <c r="F15" s="21"/>
      <c r="G15" s="21">
        <f t="shared" si="0"/>
        <v>0</v>
      </c>
    </row>
    <row r="16" spans="1:7" s="22" customFormat="1" ht="35.1" customHeight="1" x14ac:dyDescent="0.25">
      <c r="A16" s="16">
        <v>6</v>
      </c>
      <c r="B16" s="17" t="s">
        <v>27</v>
      </c>
      <c r="C16" s="18">
        <v>20</v>
      </c>
      <c r="D16" s="19" t="s">
        <v>21</v>
      </c>
      <c r="E16" s="20"/>
      <c r="F16" s="21"/>
      <c r="G16" s="21">
        <f t="shared" si="0"/>
        <v>0</v>
      </c>
    </row>
    <row r="17" spans="1:7" s="22" customFormat="1" ht="35.1" customHeight="1" x14ac:dyDescent="0.25">
      <c r="A17" s="16">
        <v>7</v>
      </c>
      <c r="B17" s="17" t="s">
        <v>28</v>
      </c>
      <c r="C17" s="18">
        <v>20</v>
      </c>
      <c r="D17" s="19" t="s">
        <v>21</v>
      </c>
      <c r="E17" s="20"/>
      <c r="F17" s="21"/>
      <c r="G17" s="21">
        <f t="shared" si="0"/>
        <v>0</v>
      </c>
    </row>
    <row r="18" spans="1:7" s="22" customFormat="1" ht="35.1" customHeight="1" x14ac:dyDescent="0.25">
      <c r="A18" s="16">
        <v>8</v>
      </c>
      <c r="B18" s="17" t="s">
        <v>29</v>
      </c>
      <c r="C18" s="18">
        <v>5</v>
      </c>
      <c r="D18" s="19" t="s">
        <v>21</v>
      </c>
      <c r="E18" s="20"/>
      <c r="F18" s="21"/>
      <c r="G18" s="21">
        <f t="shared" si="0"/>
        <v>0</v>
      </c>
    </row>
    <row r="19" spans="1:7" s="22" customFormat="1" ht="35.1" customHeight="1" x14ac:dyDescent="0.25">
      <c r="A19" s="16">
        <v>9</v>
      </c>
      <c r="B19" s="17" t="s">
        <v>30</v>
      </c>
      <c r="C19" s="18">
        <v>5</v>
      </c>
      <c r="D19" s="19" t="s">
        <v>21</v>
      </c>
      <c r="E19" s="20"/>
      <c r="F19" s="21"/>
      <c r="G19" s="21">
        <f t="shared" si="0"/>
        <v>0</v>
      </c>
    </row>
    <row r="20" spans="1:7" s="22" customFormat="1" ht="35.1" customHeight="1" x14ac:dyDescent="0.25">
      <c r="A20" s="16">
        <v>10</v>
      </c>
      <c r="B20" s="17" t="s">
        <v>31</v>
      </c>
      <c r="C20" s="18">
        <v>5</v>
      </c>
      <c r="D20" s="19" t="s">
        <v>21</v>
      </c>
      <c r="E20" s="20"/>
      <c r="F20" s="21"/>
      <c r="G20" s="21">
        <f t="shared" si="0"/>
        <v>0</v>
      </c>
    </row>
    <row r="21" spans="1:7" s="22" customFormat="1" ht="35.1" customHeight="1" x14ac:dyDescent="0.25">
      <c r="A21" s="16">
        <v>11</v>
      </c>
      <c r="B21" s="17" t="s">
        <v>32</v>
      </c>
      <c r="C21" s="18">
        <v>5</v>
      </c>
      <c r="D21" s="19" t="s">
        <v>21</v>
      </c>
      <c r="E21" s="20"/>
      <c r="F21" s="21"/>
      <c r="G21" s="21">
        <f t="shared" si="0"/>
        <v>0</v>
      </c>
    </row>
    <row r="22" spans="1:7" s="22" customFormat="1" ht="35.1" customHeight="1" x14ac:dyDescent="0.25">
      <c r="A22" s="16">
        <v>12</v>
      </c>
      <c r="B22" s="17" t="s">
        <v>33</v>
      </c>
      <c r="C22" s="18">
        <v>5</v>
      </c>
      <c r="D22" s="19" t="s">
        <v>21</v>
      </c>
      <c r="E22" s="20"/>
      <c r="F22" s="21"/>
      <c r="G22" s="21">
        <f t="shared" si="0"/>
        <v>0</v>
      </c>
    </row>
    <row r="23" spans="1:7" s="22" customFormat="1" ht="35.1" customHeight="1" x14ac:dyDescent="0.25">
      <c r="A23" s="16">
        <v>13</v>
      </c>
      <c r="B23" s="17" t="s">
        <v>34</v>
      </c>
      <c r="C23" s="18">
        <v>50</v>
      </c>
      <c r="D23" s="19" t="s">
        <v>21</v>
      </c>
      <c r="E23" s="20"/>
      <c r="F23" s="21"/>
      <c r="G23" s="21">
        <f t="shared" si="0"/>
        <v>0</v>
      </c>
    </row>
    <row r="24" spans="1:7" s="22" customFormat="1" ht="35.1" customHeight="1" x14ac:dyDescent="0.25">
      <c r="A24" s="16">
        <v>14</v>
      </c>
      <c r="B24" s="17" t="s">
        <v>35</v>
      </c>
      <c r="C24" s="18">
        <v>50</v>
      </c>
      <c r="D24" s="19" t="s">
        <v>21</v>
      </c>
      <c r="E24" s="20"/>
      <c r="F24" s="21"/>
      <c r="G24" s="21">
        <f t="shared" si="0"/>
        <v>0</v>
      </c>
    </row>
    <row r="25" spans="1:7" s="22" customFormat="1" ht="35.1" customHeight="1" x14ac:dyDescent="0.25">
      <c r="A25" s="16">
        <v>15</v>
      </c>
      <c r="B25" s="17" t="s">
        <v>36</v>
      </c>
      <c r="C25" s="18">
        <v>50</v>
      </c>
      <c r="D25" s="19" t="s">
        <v>21</v>
      </c>
      <c r="E25" s="20"/>
      <c r="F25" s="21"/>
      <c r="G25" s="21">
        <f t="shared" si="0"/>
        <v>0</v>
      </c>
    </row>
    <row r="26" spans="1:7" s="22" customFormat="1" ht="35.1" customHeight="1" x14ac:dyDescent="0.25">
      <c r="A26" s="16">
        <v>16</v>
      </c>
      <c r="B26" s="17" t="s">
        <v>37</v>
      </c>
      <c r="C26" s="18">
        <v>15</v>
      </c>
      <c r="D26" s="19" t="s">
        <v>21</v>
      </c>
      <c r="E26" s="20"/>
      <c r="F26" s="21"/>
      <c r="G26" s="21">
        <f t="shared" si="0"/>
        <v>0</v>
      </c>
    </row>
    <row r="27" spans="1:7" s="22" customFormat="1" ht="35.1" customHeight="1" x14ac:dyDescent="0.25">
      <c r="A27" s="16">
        <v>17</v>
      </c>
      <c r="B27" s="17" t="s">
        <v>38</v>
      </c>
      <c r="C27" s="18">
        <v>20</v>
      </c>
      <c r="D27" s="19" t="s">
        <v>21</v>
      </c>
      <c r="E27" s="20"/>
      <c r="F27" s="21"/>
      <c r="G27" s="21">
        <f t="shared" si="0"/>
        <v>0</v>
      </c>
    </row>
    <row r="28" spans="1:7" s="22" customFormat="1" ht="35.1" customHeight="1" x14ac:dyDescent="0.25">
      <c r="A28" s="16">
        <v>18</v>
      </c>
      <c r="B28" s="17" t="s">
        <v>39</v>
      </c>
      <c r="C28" s="18">
        <v>15</v>
      </c>
      <c r="D28" s="19" t="s">
        <v>21</v>
      </c>
      <c r="E28" s="20"/>
      <c r="F28" s="21"/>
      <c r="G28" s="21">
        <f t="shared" si="0"/>
        <v>0</v>
      </c>
    </row>
    <row r="29" spans="1:7" s="22" customFormat="1" ht="35.1" customHeight="1" x14ac:dyDescent="0.25">
      <c r="A29" s="16">
        <v>19</v>
      </c>
      <c r="B29" s="17" t="s">
        <v>40</v>
      </c>
      <c r="C29" s="18">
        <v>15</v>
      </c>
      <c r="D29" s="19" t="s">
        <v>21</v>
      </c>
      <c r="E29" s="20"/>
      <c r="F29" s="21"/>
      <c r="G29" s="21">
        <f t="shared" si="0"/>
        <v>0</v>
      </c>
    </row>
    <row r="30" spans="1:7" s="22" customFormat="1" ht="35.1" customHeight="1" x14ac:dyDescent="0.25">
      <c r="A30" s="16">
        <v>20</v>
      </c>
      <c r="B30" s="17" t="s">
        <v>41</v>
      </c>
      <c r="C30" s="18">
        <v>5</v>
      </c>
      <c r="D30" s="19" t="s">
        <v>21</v>
      </c>
      <c r="E30" s="20"/>
      <c r="F30" s="21"/>
      <c r="G30" s="21">
        <f t="shared" si="0"/>
        <v>0</v>
      </c>
    </row>
    <row r="31" spans="1:7" s="22" customFormat="1" ht="35.1" customHeight="1" x14ac:dyDescent="0.25">
      <c r="A31" s="16">
        <v>21</v>
      </c>
      <c r="B31" s="17" t="s">
        <v>42</v>
      </c>
      <c r="C31" s="18">
        <v>15</v>
      </c>
      <c r="D31" s="19" t="s">
        <v>21</v>
      </c>
      <c r="E31" s="20"/>
      <c r="F31" s="21"/>
      <c r="G31" s="21">
        <f t="shared" si="0"/>
        <v>0</v>
      </c>
    </row>
    <row r="32" spans="1:7" s="22" customFormat="1" ht="35.1" customHeight="1" x14ac:dyDescent="0.25">
      <c r="A32" s="16">
        <v>22</v>
      </c>
      <c r="B32" s="17" t="s">
        <v>43</v>
      </c>
      <c r="C32" s="18">
        <v>15</v>
      </c>
      <c r="D32" s="19" t="s">
        <v>21</v>
      </c>
      <c r="E32" s="20"/>
      <c r="F32" s="21"/>
      <c r="G32" s="21">
        <f t="shared" si="0"/>
        <v>0</v>
      </c>
    </row>
    <row r="33" spans="1:7" s="22" customFormat="1" ht="35.1" customHeight="1" x14ac:dyDescent="0.25">
      <c r="A33" s="16">
        <v>23</v>
      </c>
      <c r="B33" s="17" t="s">
        <v>44</v>
      </c>
      <c r="C33" s="18">
        <v>15</v>
      </c>
      <c r="D33" s="19" t="s">
        <v>21</v>
      </c>
      <c r="E33" s="20"/>
      <c r="F33" s="21"/>
      <c r="G33" s="21">
        <f t="shared" si="0"/>
        <v>0</v>
      </c>
    </row>
    <row r="34" spans="1:7" s="22" customFormat="1" ht="35.1" customHeight="1" x14ac:dyDescent="0.25">
      <c r="A34" s="16">
        <v>24</v>
      </c>
      <c r="B34" s="17" t="s">
        <v>45</v>
      </c>
      <c r="C34" s="18">
        <v>15</v>
      </c>
      <c r="D34" s="19" t="s">
        <v>21</v>
      </c>
      <c r="E34" s="20"/>
      <c r="F34" s="21"/>
      <c r="G34" s="21">
        <f t="shared" si="0"/>
        <v>0</v>
      </c>
    </row>
    <row r="35" spans="1:7" s="22" customFormat="1" ht="35.1" customHeight="1" x14ac:dyDescent="0.25">
      <c r="A35" s="16">
        <v>25</v>
      </c>
      <c r="B35" s="17" t="s">
        <v>46</v>
      </c>
      <c r="C35" s="18">
        <v>20</v>
      </c>
      <c r="D35" s="19" t="s">
        <v>21</v>
      </c>
      <c r="E35" s="20"/>
      <c r="F35" s="21"/>
      <c r="G35" s="21">
        <f t="shared" si="0"/>
        <v>0</v>
      </c>
    </row>
    <row r="36" spans="1:7" s="22" customFormat="1" ht="35.1" customHeight="1" x14ac:dyDescent="0.25">
      <c r="A36" s="16">
        <v>26</v>
      </c>
      <c r="B36" s="17" t="s">
        <v>47</v>
      </c>
      <c r="C36" s="18">
        <v>15</v>
      </c>
      <c r="D36" s="19" t="s">
        <v>21</v>
      </c>
      <c r="E36" s="20"/>
      <c r="F36" s="21"/>
      <c r="G36" s="21">
        <f t="shared" si="0"/>
        <v>0</v>
      </c>
    </row>
    <row r="37" spans="1:7" s="22" customFormat="1" ht="42" customHeight="1" x14ac:dyDescent="0.25">
      <c r="A37" s="16">
        <v>27</v>
      </c>
      <c r="B37" s="17" t="s">
        <v>48</v>
      </c>
      <c r="C37" s="18">
        <v>5</v>
      </c>
      <c r="D37" s="19" t="s">
        <v>21</v>
      </c>
      <c r="E37" s="20"/>
      <c r="F37" s="21"/>
      <c r="G37" s="21">
        <f t="shared" si="0"/>
        <v>0</v>
      </c>
    </row>
    <row r="38" spans="1:7" s="22" customFormat="1" ht="35.1" customHeight="1" x14ac:dyDescent="0.25">
      <c r="A38" s="16">
        <v>28</v>
      </c>
      <c r="B38" s="17" t="s">
        <v>49</v>
      </c>
      <c r="C38" s="18">
        <v>10</v>
      </c>
      <c r="D38" s="19" t="s">
        <v>21</v>
      </c>
      <c r="E38" s="20"/>
      <c r="F38" s="21"/>
      <c r="G38" s="21">
        <f t="shared" si="0"/>
        <v>0</v>
      </c>
    </row>
    <row r="39" spans="1:7" s="22" customFormat="1" ht="35.1" customHeight="1" x14ac:dyDescent="0.25">
      <c r="A39" s="16">
        <v>29</v>
      </c>
      <c r="B39" s="17" t="s">
        <v>50</v>
      </c>
      <c r="C39" s="18">
        <v>3</v>
      </c>
      <c r="D39" s="19" t="s">
        <v>21</v>
      </c>
      <c r="E39" s="20"/>
      <c r="F39" s="21"/>
      <c r="G39" s="21">
        <f t="shared" si="0"/>
        <v>0</v>
      </c>
    </row>
    <row r="40" spans="1:7" s="22" customFormat="1" ht="35.1" customHeight="1" x14ac:dyDescent="0.25">
      <c r="A40" s="16">
        <v>30</v>
      </c>
      <c r="B40" s="17" t="s">
        <v>51</v>
      </c>
      <c r="C40" s="18">
        <v>3</v>
      </c>
      <c r="D40" s="19" t="s">
        <v>21</v>
      </c>
      <c r="E40" s="20"/>
      <c r="F40" s="21"/>
      <c r="G40" s="21">
        <f t="shared" si="0"/>
        <v>0</v>
      </c>
    </row>
    <row r="41" spans="1:7" s="22" customFormat="1" ht="35.1" customHeight="1" x14ac:dyDescent="0.25">
      <c r="A41" s="16">
        <v>31</v>
      </c>
      <c r="B41" s="17" t="s">
        <v>52</v>
      </c>
      <c r="C41" s="18">
        <v>10</v>
      </c>
      <c r="D41" s="19" t="s">
        <v>21</v>
      </c>
      <c r="E41" s="20"/>
      <c r="F41" s="21"/>
      <c r="G41" s="21">
        <f t="shared" si="0"/>
        <v>0</v>
      </c>
    </row>
    <row r="42" spans="1:7" s="22" customFormat="1" ht="35.1" customHeight="1" x14ac:dyDescent="0.25">
      <c r="A42" s="16">
        <v>32</v>
      </c>
      <c r="B42" s="17" t="s">
        <v>53</v>
      </c>
      <c r="C42" s="18">
        <v>2</v>
      </c>
      <c r="D42" s="19" t="s">
        <v>21</v>
      </c>
      <c r="E42" s="20"/>
      <c r="F42" s="21"/>
      <c r="G42" s="21">
        <f t="shared" si="0"/>
        <v>0</v>
      </c>
    </row>
    <row r="43" spans="1:7" s="22" customFormat="1" ht="40.5" customHeight="1" x14ac:dyDescent="0.25">
      <c r="A43" s="16">
        <v>33</v>
      </c>
      <c r="B43" s="17" t="s">
        <v>54</v>
      </c>
      <c r="C43" s="18">
        <v>5</v>
      </c>
      <c r="D43" s="19" t="s">
        <v>21</v>
      </c>
      <c r="E43" s="20"/>
      <c r="F43" s="21"/>
      <c r="G43" s="21">
        <f t="shared" si="0"/>
        <v>0</v>
      </c>
    </row>
    <row r="44" spans="1:7" s="22" customFormat="1" ht="40.5" customHeight="1" x14ac:dyDescent="0.25">
      <c r="A44" s="16">
        <v>34</v>
      </c>
      <c r="B44" s="17" t="s">
        <v>55</v>
      </c>
      <c r="C44" s="18">
        <v>1</v>
      </c>
      <c r="D44" s="19" t="s">
        <v>21</v>
      </c>
      <c r="E44" s="20"/>
      <c r="F44" s="21"/>
      <c r="G44" s="21">
        <f t="shared" si="0"/>
        <v>0</v>
      </c>
    </row>
    <row r="45" spans="1:7" s="22" customFormat="1" ht="35.1" customHeight="1" x14ac:dyDescent="0.25">
      <c r="A45" s="16">
        <v>35</v>
      </c>
      <c r="B45" s="17" t="s">
        <v>56</v>
      </c>
      <c r="C45" s="18">
        <v>5</v>
      </c>
      <c r="D45" s="19" t="s">
        <v>21</v>
      </c>
      <c r="E45" s="20"/>
      <c r="F45" s="21"/>
      <c r="G45" s="21">
        <f t="shared" si="0"/>
        <v>0</v>
      </c>
    </row>
    <row r="46" spans="1:7" s="22" customFormat="1" ht="35.1" customHeight="1" x14ac:dyDescent="0.25">
      <c r="A46" s="16">
        <v>36</v>
      </c>
      <c r="B46" s="17" t="s">
        <v>57</v>
      </c>
      <c r="C46" s="18">
        <v>10</v>
      </c>
      <c r="D46" s="19" t="s">
        <v>21</v>
      </c>
      <c r="E46" s="20"/>
      <c r="F46" s="21"/>
      <c r="G46" s="21">
        <f t="shared" si="0"/>
        <v>0</v>
      </c>
    </row>
    <row r="47" spans="1:7" s="22" customFormat="1" ht="35.1" customHeight="1" x14ac:dyDescent="0.25">
      <c r="A47" s="16">
        <v>37</v>
      </c>
      <c r="B47" s="17" t="s">
        <v>58</v>
      </c>
      <c r="C47" s="18">
        <v>200</v>
      </c>
      <c r="D47" s="19" t="s">
        <v>21</v>
      </c>
      <c r="E47" s="20"/>
      <c r="F47" s="21"/>
      <c r="G47" s="21">
        <f t="shared" si="0"/>
        <v>0</v>
      </c>
    </row>
    <row r="48" spans="1:7" s="22" customFormat="1" ht="35.1" customHeight="1" x14ac:dyDescent="0.25">
      <c r="A48" s="16">
        <v>38</v>
      </c>
      <c r="B48" s="17" t="s">
        <v>59</v>
      </c>
      <c r="C48" s="18">
        <v>100</v>
      </c>
      <c r="D48" s="19" t="s">
        <v>21</v>
      </c>
      <c r="E48" s="20"/>
      <c r="F48" s="21"/>
      <c r="G48" s="21">
        <f t="shared" si="0"/>
        <v>0</v>
      </c>
    </row>
    <row r="49" spans="1:7" s="22" customFormat="1" ht="35.1" customHeight="1" x14ac:dyDescent="0.25">
      <c r="A49" s="16">
        <v>39</v>
      </c>
      <c r="B49" s="17" t="s">
        <v>60</v>
      </c>
      <c r="C49" s="18">
        <v>100</v>
      </c>
      <c r="D49" s="19" t="s">
        <v>21</v>
      </c>
      <c r="E49" s="20"/>
      <c r="F49" s="21"/>
      <c r="G49" s="21">
        <f t="shared" si="0"/>
        <v>0</v>
      </c>
    </row>
    <row r="50" spans="1:7" s="22" customFormat="1" ht="56.25" customHeight="1" x14ac:dyDescent="0.25">
      <c r="A50" s="16">
        <v>40</v>
      </c>
      <c r="B50" s="17" t="s">
        <v>61</v>
      </c>
      <c r="C50" s="18">
        <v>3</v>
      </c>
      <c r="D50" s="19" t="s">
        <v>21</v>
      </c>
      <c r="E50" s="20"/>
      <c r="F50" s="21"/>
      <c r="G50" s="21">
        <f t="shared" si="0"/>
        <v>0</v>
      </c>
    </row>
    <row r="51" spans="1:7" s="22" customFormat="1" ht="35.1" customHeight="1" x14ac:dyDescent="0.25">
      <c r="A51" s="16">
        <v>41</v>
      </c>
      <c r="B51" s="17" t="s">
        <v>62</v>
      </c>
      <c r="C51" s="18">
        <v>1</v>
      </c>
      <c r="D51" s="19" t="s">
        <v>21</v>
      </c>
      <c r="E51" s="20"/>
      <c r="F51" s="21"/>
      <c r="G51" s="21">
        <f t="shared" si="0"/>
        <v>0</v>
      </c>
    </row>
    <row r="52" spans="1:7" s="22" customFormat="1" ht="40.5" customHeight="1" x14ac:dyDescent="0.25">
      <c r="A52" s="16">
        <v>42</v>
      </c>
      <c r="B52" s="17" t="s">
        <v>63</v>
      </c>
      <c r="C52" s="18">
        <v>1</v>
      </c>
      <c r="D52" s="19" t="s">
        <v>21</v>
      </c>
      <c r="E52" s="20"/>
      <c r="F52" s="21"/>
      <c r="G52" s="21">
        <f t="shared" si="0"/>
        <v>0</v>
      </c>
    </row>
    <row r="53" spans="1:7" s="22" customFormat="1" ht="43.5" customHeight="1" x14ac:dyDescent="0.25">
      <c r="A53" s="16">
        <v>43</v>
      </c>
      <c r="B53" s="17" t="s">
        <v>64</v>
      </c>
      <c r="C53" s="18">
        <v>1</v>
      </c>
      <c r="D53" s="19" t="s">
        <v>21</v>
      </c>
      <c r="E53" s="20"/>
      <c r="F53" s="21"/>
      <c r="G53" s="21">
        <f t="shared" si="0"/>
        <v>0</v>
      </c>
    </row>
    <row r="54" spans="1:7" s="22" customFormat="1" ht="42.75" customHeight="1" x14ac:dyDescent="0.25">
      <c r="A54" s="16">
        <v>44</v>
      </c>
      <c r="B54" s="17" t="s">
        <v>65</v>
      </c>
      <c r="C54" s="18">
        <v>1</v>
      </c>
      <c r="D54" s="19" t="s">
        <v>21</v>
      </c>
      <c r="E54" s="20"/>
      <c r="F54" s="21"/>
      <c r="G54" s="21">
        <f t="shared" si="0"/>
        <v>0</v>
      </c>
    </row>
    <row r="55" spans="1:7" s="22" customFormat="1" ht="35.1" customHeight="1" x14ac:dyDescent="0.25">
      <c r="A55" s="16">
        <v>45</v>
      </c>
      <c r="B55" s="17" t="s">
        <v>66</v>
      </c>
      <c r="C55" s="18">
        <v>1</v>
      </c>
      <c r="D55" s="19" t="s">
        <v>21</v>
      </c>
      <c r="E55" s="20"/>
      <c r="F55" s="21"/>
      <c r="G55" s="21">
        <f t="shared" si="0"/>
        <v>0</v>
      </c>
    </row>
    <row r="56" spans="1:7" s="22" customFormat="1" ht="37.5" customHeight="1" x14ac:dyDescent="0.25">
      <c r="A56" s="16">
        <v>46</v>
      </c>
      <c r="B56" s="17" t="s">
        <v>67</v>
      </c>
      <c r="C56" s="18">
        <v>1</v>
      </c>
      <c r="D56" s="19" t="s">
        <v>21</v>
      </c>
      <c r="E56" s="20"/>
      <c r="F56" s="21"/>
      <c r="G56" s="21">
        <f t="shared" si="0"/>
        <v>0</v>
      </c>
    </row>
    <row r="57" spans="1:7" s="22" customFormat="1" ht="35.1" customHeight="1" x14ac:dyDescent="0.25">
      <c r="A57" s="16">
        <v>47</v>
      </c>
      <c r="B57" s="17" t="s">
        <v>68</v>
      </c>
      <c r="C57" s="18">
        <v>10</v>
      </c>
      <c r="D57" s="19" t="s">
        <v>21</v>
      </c>
      <c r="E57" s="20"/>
      <c r="F57" s="21"/>
      <c r="G57" s="21">
        <f t="shared" si="0"/>
        <v>0</v>
      </c>
    </row>
    <row r="58" spans="1:7" s="22" customFormat="1" ht="35.1" customHeight="1" x14ac:dyDescent="0.25">
      <c r="A58" s="16">
        <v>48</v>
      </c>
      <c r="B58" s="17" t="s">
        <v>69</v>
      </c>
      <c r="C58" s="18">
        <v>10</v>
      </c>
      <c r="D58" s="19" t="s">
        <v>21</v>
      </c>
      <c r="E58" s="20"/>
      <c r="F58" s="21"/>
      <c r="G58" s="21">
        <f t="shared" si="0"/>
        <v>0</v>
      </c>
    </row>
    <row r="59" spans="1:7" s="22" customFormat="1" ht="35.1" customHeight="1" x14ac:dyDescent="0.25">
      <c r="A59" s="16">
        <v>49</v>
      </c>
      <c r="B59" s="17" t="s">
        <v>70</v>
      </c>
      <c r="C59" s="18">
        <v>10</v>
      </c>
      <c r="D59" s="19" t="s">
        <v>21</v>
      </c>
      <c r="E59" s="20"/>
      <c r="F59" s="21"/>
      <c r="G59" s="21">
        <f t="shared" si="0"/>
        <v>0</v>
      </c>
    </row>
    <row r="60" spans="1:7" s="22" customFormat="1" ht="35.1" customHeight="1" x14ac:dyDescent="0.25">
      <c r="A60" s="16">
        <v>50</v>
      </c>
      <c r="B60" s="17" t="s">
        <v>71</v>
      </c>
      <c r="C60" s="18">
        <v>10</v>
      </c>
      <c r="D60" s="19" t="s">
        <v>21</v>
      </c>
      <c r="E60" s="20"/>
      <c r="F60" s="21"/>
      <c r="G60" s="21">
        <f t="shared" si="0"/>
        <v>0</v>
      </c>
    </row>
    <row r="61" spans="1:7" s="22" customFormat="1" ht="35.1" customHeight="1" x14ac:dyDescent="0.25">
      <c r="A61" s="16">
        <v>51</v>
      </c>
      <c r="B61" s="17" t="s">
        <v>72</v>
      </c>
      <c r="C61" s="18">
        <v>10</v>
      </c>
      <c r="D61" s="19" t="s">
        <v>21</v>
      </c>
      <c r="E61" s="20"/>
      <c r="F61" s="21"/>
      <c r="G61" s="21">
        <f t="shared" si="0"/>
        <v>0</v>
      </c>
    </row>
    <row r="62" spans="1:7" s="22" customFormat="1" ht="35.1" customHeight="1" x14ac:dyDescent="0.25">
      <c r="A62" s="16">
        <v>52</v>
      </c>
      <c r="B62" s="17" t="s">
        <v>73</v>
      </c>
      <c r="C62" s="18">
        <v>10</v>
      </c>
      <c r="D62" s="19" t="s">
        <v>21</v>
      </c>
      <c r="E62" s="20"/>
      <c r="F62" s="21"/>
      <c r="G62" s="21">
        <f t="shared" si="0"/>
        <v>0</v>
      </c>
    </row>
    <row r="63" spans="1:7" s="22" customFormat="1" ht="35.1" customHeight="1" x14ac:dyDescent="0.25">
      <c r="A63" s="16">
        <v>53</v>
      </c>
      <c r="B63" s="17" t="s">
        <v>74</v>
      </c>
      <c r="C63" s="18">
        <v>10</v>
      </c>
      <c r="D63" s="19" t="s">
        <v>21</v>
      </c>
      <c r="E63" s="20"/>
      <c r="F63" s="21"/>
      <c r="G63" s="21">
        <f t="shared" si="0"/>
        <v>0</v>
      </c>
    </row>
    <row r="64" spans="1:7" s="22" customFormat="1" ht="35.1" customHeight="1" x14ac:dyDescent="0.25">
      <c r="A64" s="16">
        <v>54</v>
      </c>
      <c r="B64" s="17" t="s">
        <v>75</v>
      </c>
      <c r="C64" s="18">
        <v>10</v>
      </c>
      <c r="D64" s="19" t="s">
        <v>21</v>
      </c>
      <c r="E64" s="20"/>
      <c r="F64" s="21"/>
      <c r="G64" s="21">
        <f t="shared" si="0"/>
        <v>0</v>
      </c>
    </row>
    <row r="65" spans="1:7" s="22" customFormat="1" ht="35.1" customHeight="1" x14ac:dyDescent="0.25">
      <c r="A65" s="16">
        <v>55</v>
      </c>
      <c r="B65" s="17" t="s">
        <v>76</v>
      </c>
      <c r="C65" s="18">
        <v>1</v>
      </c>
      <c r="D65" s="19" t="s">
        <v>21</v>
      </c>
      <c r="E65" s="20"/>
      <c r="F65" s="21"/>
      <c r="G65" s="21">
        <f t="shared" si="0"/>
        <v>0</v>
      </c>
    </row>
    <row r="66" spans="1:7" s="22" customFormat="1" ht="35.1" customHeight="1" x14ac:dyDescent="0.25">
      <c r="A66" s="16">
        <v>56</v>
      </c>
      <c r="B66" s="17" t="s">
        <v>77</v>
      </c>
      <c r="C66" s="18">
        <v>1</v>
      </c>
      <c r="D66" s="19" t="s">
        <v>21</v>
      </c>
      <c r="E66" s="20"/>
      <c r="F66" s="21"/>
      <c r="G66" s="21">
        <f t="shared" si="0"/>
        <v>0</v>
      </c>
    </row>
    <row r="67" spans="1:7" s="22" customFormat="1" ht="35.1" customHeight="1" x14ac:dyDescent="0.25">
      <c r="A67" s="16">
        <v>57</v>
      </c>
      <c r="B67" s="17" t="s">
        <v>78</v>
      </c>
      <c r="C67" s="18">
        <v>1</v>
      </c>
      <c r="D67" s="19" t="s">
        <v>21</v>
      </c>
      <c r="E67" s="20"/>
      <c r="F67" s="21"/>
      <c r="G67" s="21">
        <f t="shared" si="0"/>
        <v>0</v>
      </c>
    </row>
    <row r="68" spans="1:7" s="22" customFormat="1" ht="35.1" customHeight="1" x14ac:dyDescent="0.25">
      <c r="A68" s="16">
        <v>58</v>
      </c>
      <c r="B68" s="17" t="s">
        <v>79</v>
      </c>
      <c r="C68" s="18">
        <v>1</v>
      </c>
      <c r="D68" s="19" t="s">
        <v>21</v>
      </c>
      <c r="E68" s="20"/>
      <c r="F68" s="21"/>
      <c r="G68" s="21">
        <f t="shared" si="0"/>
        <v>0</v>
      </c>
    </row>
    <row r="69" spans="1:7" s="22" customFormat="1" ht="35.1" customHeight="1" x14ac:dyDescent="0.25">
      <c r="A69" s="16">
        <v>59</v>
      </c>
      <c r="B69" s="17" t="s">
        <v>80</v>
      </c>
      <c r="C69" s="18">
        <v>1</v>
      </c>
      <c r="D69" s="19" t="s">
        <v>21</v>
      </c>
      <c r="E69" s="20"/>
      <c r="F69" s="21"/>
      <c r="G69" s="21">
        <f t="shared" si="0"/>
        <v>0</v>
      </c>
    </row>
    <row r="70" spans="1:7" s="22" customFormat="1" ht="35.1" customHeight="1" x14ac:dyDescent="0.25">
      <c r="A70" s="16">
        <v>60</v>
      </c>
      <c r="B70" s="17" t="s">
        <v>81</v>
      </c>
      <c r="C70" s="18">
        <v>1</v>
      </c>
      <c r="D70" s="19" t="s">
        <v>21</v>
      </c>
      <c r="E70" s="20"/>
      <c r="F70" s="21"/>
      <c r="G70" s="21">
        <f t="shared" si="0"/>
        <v>0</v>
      </c>
    </row>
    <row r="71" spans="1:7" s="22" customFormat="1" ht="35.1" customHeight="1" x14ac:dyDescent="0.25">
      <c r="A71" s="16">
        <v>61</v>
      </c>
      <c r="B71" s="17" t="s">
        <v>82</v>
      </c>
      <c r="C71" s="18">
        <v>1</v>
      </c>
      <c r="D71" s="19" t="s">
        <v>21</v>
      </c>
      <c r="E71" s="20"/>
      <c r="F71" s="21"/>
      <c r="G71" s="21">
        <f t="shared" si="0"/>
        <v>0</v>
      </c>
    </row>
    <row r="72" spans="1:7" s="22" customFormat="1" ht="35.1" customHeight="1" x14ac:dyDescent="0.25">
      <c r="A72" s="16">
        <v>62</v>
      </c>
      <c r="B72" s="17" t="s">
        <v>83</v>
      </c>
      <c r="C72" s="18">
        <v>1</v>
      </c>
      <c r="D72" s="19" t="s">
        <v>21</v>
      </c>
      <c r="E72" s="20"/>
      <c r="F72" s="21"/>
      <c r="G72" s="21">
        <f t="shared" si="0"/>
        <v>0</v>
      </c>
    </row>
    <row r="73" spans="1:7" s="22" customFormat="1" ht="35.1" customHeight="1" x14ac:dyDescent="0.25">
      <c r="A73" s="16">
        <v>63</v>
      </c>
      <c r="B73" s="17" t="s">
        <v>84</v>
      </c>
      <c r="C73" s="18">
        <v>4</v>
      </c>
      <c r="D73" s="19" t="s">
        <v>21</v>
      </c>
      <c r="E73" s="20"/>
      <c r="F73" s="21"/>
      <c r="G73" s="21">
        <f t="shared" si="0"/>
        <v>0</v>
      </c>
    </row>
    <row r="74" spans="1:7" s="22" customFormat="1" ht="35.1" customHeight="1" x14ac:dyDescent="0.25">
      <c r="A74" s="16">
        <v>64</v>
      </c>
      <c r="B74" s="17" t="s">
        <v>85</v>
      </c>
      <c r="C74" s="18">
        <v>1</v>
      </c>
      <c r="D74" s="19" t="s">
        <v>21</v>
      </c>
      <c r="E74" s="20"/>
      <c r="F74" s="21"/>
      <c r="G74" s="21">
        <f t="shared" si="0"/>
        <v>0</v>
      </c>
    </row>
    <row r="75" spans="1:7" s="22" customFormat="1" ht="35.1" customHeight="1" x14ac:dyDescent="0.25">
      <c r="A75" s="16">
        <v>65</v>
      </c>
      <c r="B75" s="17" t="s">
        <v>86</v>
      </c>
      <c r="C75" s="18">
        <v>1</v>
      </c>
      <c r="D75" s="19" t="s">
        <v>21</v>
      </c>
      <c r="E75" s="20"/>
      <c r="F75" s="21"/>
      <c r="G75" s="21">
        <f t="shared" si="0"/>
        <v>0</v>
      </c>
    </row>
    <row r="76" spans="1:7" s="22" customFormat="1" ht="35.1" customHeight="1" x14ac:dyDescent="0.25">
      <c r="A76" s="16">
        <v>66</v>
      </c>
      <c r="B76" s="17" t="s">
        <v>87</v>
      </c>
      <c r="C76" s="18">
        <v>1</v>
      </c>
      <c r="D76" s="19" t="s">
        <v>21</v>
      </c>
      <c r="E76" s="20"/>
      <c r="F76" s="21"/>
      <c r="G76" s="21">
        <f t="shared" si="0"/>
        <v>0</v>
      </c>
    </row>
    <row r="77" spans="1:7" s="22" customFormat="1" ht="35.1" customHeight="1" x14ac:dyDescent="0.25">
      <c r="A77" s="16">
        <v>67</v>
      </c>
      <c r="B77" s="17" t="s">
        <v>88</v>
      </c>
      <c r="C77" s="18">
        <v>1</v>
      </c>
      <c r="D77" s="19" t="s">
        <v>21</v>
      </c>
      <c r="E77" s="20"/>
      <c r="F77" s="21"/>
      <c r="G77" s="21">
        <f t="shared" si="0"/>
        <v>0</v>
      </c>
    </row>
    <row r="78" spans="1:7" s="22" customFormat="1" ht="35.1" customHeight="1" x14ac:dyDescent="0.25">
      <c r="A78" s="16">
        <v>68</v>
      </c>
      <c r="B78" s="17" t="s">
        <v>89</v>
      </c>
      <c r="C78" s="18">
        <v>1</v>
      </c>
      <c r="D78" s="19" t="s">
        <v>21</v>
      </c>
      <c r="E78" s="20"/>
      <c r="F78" s="21"/>
      <c r="G78" s="21">
        <f t="shared" si="0"/>
        <v>0</v>
      </c>
    </row>
    <row r="79" spans="1:7" s="22" customFormat="1" ht="35.1" customHeight="1" x14ac:dyDescent="0.25">
      <c r="A79" s="16">
        <v>69</v>
      </c>
      <c r="B79" s="17" t="s">
        <v>90</v>
      </c>
      <c r="C79" s="18">
        <v>1</v>
      </c>
      <c r="D79" s="19" t="s">
        <v>21</v>
      </c>
      <c r="E79" s="20"/>
      <c r="F79" s="21"/>
      <c r="G79" s="21">
        <f t="shared" si="0"/>
        <v>0</v>
      </c>
    </row>
    <row r="80" spans="1:7" s="22" customFormat="1" ht="35.1" customHeight="1" x14ac:dyDescent="0.25">
      <c r="A80" s="16">
        <v>70</v>
      </c>
      <c r="B80" s="17" t="s">
        <v>91</v>
      </c>
      <c r="C80" s="18">
        <v>1</v>
      </c>
      <c r="D80" s="19" t="s">
        <v>21</v>
      </c>
      <c r="E80" s="20"/>
      <c r="F80" s="21"/>
      <c r="G80" s="21">
        <f t="shared" si="0"/>
        <v>0</v>
      </c>
    </row>
    <row r="81" spans="1:7" s="22" customFormat="1" ht="35.1" customHeight="1" x14ac:dyDescent="0.25">
      <c r="A81" s="16">
        <v>71</v>
      </c>
      <c r="B81" s="17" t="s">
        <v>92</v>
      </c>
      <c r="C81" s="18">
        <v>4</v>
      </c>
      <c r="D81" s="19" t="s">
        <v>21</v>
      </c>
      <c r="E81" s="20"/>
      <c r="F81" s="21"/>
      <c r="G81" s="21">
        <f t="shared" si="0"/>
        <v>0</v>
      </c>
    </row>
    <row r="82" spans="1:7" s="22" customFormat="1" ht="35.1" customHeight="1" x14ac:dyDescent="0.25">
      <c r="A82" s="16">
        <v>72</v>
      </c>
      <c r="B82" s="17" t="s">
        <v>93</v>
      </c>
      <c r="C82" s="18">
        <v>1</v>
      </c>
      <c r="D82" s="19" t="s">
        <v>21</v>
      </c>
      <c r="E82" s="20"/>
      <c r="F82" s="21"/>
      <c r="G82" s="21">
        <f t="shared" si="0"/>
        <v>0</v>
      </c>
    </row>
    <row r="83" spans="1:7" s="22" customFormat="1" ht="35.1" customHeight="1" x14ac:dyDescent="0.25">
      <c r="A83" s="16">
        <v>73</v>
      </c>
      <c r="B83" s="17" t="s">
        <v>94</v>
      </c>
      <c r="C83" s="18">
        <v>1</v>
      </c>
      <c r="D83" s="19" t="s">
        <v>21</v>
      </c>
      <c r="E83" s="20"/>
      <c r="F83" s="21"/>
      <c r="G83" s="21">
        <f t="shared" si="0"/>
        <v>0</v>
      </c>
    </row>
    <row r="84" spans="1:7" s="22" customFormat="1" ht="35.1" customHeight="1" x14ac:dyDescent="0.25">
      <c r="A84" s="16">
        <v>74</v>
      </c>
      <c r="B84" s="17" t="s">
        <v>95</v>
      </c>
      <c r="C84" s="18">
        <v>1</v>
      </c>
      <c r="D84" s="19" t="s">
        <v>21</v>
      </c>
      <c r="E84" s="20"/>
      <c r="F84" s="21"/>
      <c r="G84" s="21">
        <f t="shared" si="0"/>
        <v>0</v>
      </c>
    </row>
    <row r="85" spans="1:7" s="22" customFormat="1" ht="35.1" customHeight="1" x14ac:dyDescent="0.25">
      <c r="A85" s="16">
        <v>75</v>
      </c>
      <c r="B85" s="17" t="s">
        <v>96</v>
      </c>
      <c r="C85" s="18">
        <v>1</v>
      </c>
      <c r="D85" s="19" t="s">
        <v>21</v>
      </c>
      <c r="E85" s="20"/>
      <c r="F85" s="21"/>
      <c r="G85" s="21">
        <f t="shared" si="0"/>
        <v>0</v>
      </c>
    </row>
    <row r="86" spans="1:7" s="22" customFormat="1" ht="35.1" customHeight="1" x14ac:dyDescent="0.25">
      <c r="A86" s="16">
        <v>76</v>
      </c>
      <c r="B86" s="17" t="s">
        <v>97</v>
      </c>
      <c r="C86" s="18">
        <v>1</v>
      </c>
      <c r="D86" s="19" t="s">
        <v>21</v>
      </c>
      <c r="E86" s="20"/>
      <c r="F86" s="21"/>
      <c r="G86" s="21">
        <f t="shared" si="0"/>
        <v>0</v>
      </c>
    </row>
    <row r="87" spans="1:7" s="22" customFormat="1" ht="35.1" customHeight="1" x14ac:dyDescent="0.25">
      <c r="A87" s="16">
        <v>77</v>
      </c>
      <c r="B87" s="17" t="s">
        <v>98</v>
      </c>
      <c r="C87" s="18">
        <v>1</v>
      </c>
      <c r="D87" s="19" t="s">
        <v>21</v>
      </c>
      <c r="E87" s="20"/>
      <c r="F87" s="21"/>
      <c r="G87" s="21">
        <f t="shared" si="0"/>
        <v>0</v>
      </c>
    </row>
    <row r="88" spans="1:7" s="22" customFormat="1" ht="35.1" customHeight="1" x14ac:dyDescent="0.25">
      <c r="A88" s="16">
        <v>78</v>
      </c>
      <c r="B88" s="17" t="s">
        <v>99</v>
      </c>
      <c r="C88" s="18">
        <v>1</v>
      </c>
      <c r="D88" s="19" t="s">
        <v>21</v>
      </c>
      <c r="E88" s="20"/>
      <c r="F88" s="21"/>
      <c r="G88" s="21">
        <f t="shared" si="0"/>
        <v>0</v>
      </c>
    </row>
    <row r="89" spans="1:7" s="22" customFormat="1" ht="35.1" customHeight="1" x14ac:dyDescent="0.25">
      <c r="A89" s="16">
        <v>79</v>
      </c>
      <c r="B89" s="17" t="s">
        <v>100</v>
      </c>
      <c r="C89" s="18">
        <v>1</v>
      </c>
      <c r="D89" s="19" t="s">
        <v>21</v>
      </c>
      <c r="E89" s="20"/>
      <c r="F89" s="21"/>
      <c r="G89" s="21">
        <f t="shared" si="0"/>
        <v>0</v>
      </c>
    </row>
    <row r="90" spans="1:7" s="26" customFormat="1" ht="24.95" customHeight="1" x14ac:dyDescent="0.25">
      <c r="A90" s="23"/>
      <c r="B90" s="24"/>
      <c r="C90" s="23"/>
      <c r="D90" s="23"/>
      <c r="E90" s="36" t="s">
        <v>2</v>
      </c>
      <c r="F90" s="36"/>
      <c r="G90" s="25">
        <f>SUM(G11:G89)</f>
        <v>0</v>
      </c>
    </row>
    <row r="91" spans="1:7" s="26" customFormat="1" ht="24.95" customHeight="1" x14ac:dyDescent="0.25">
      <c r="A91" s="23"/>
      <c r="B91" s="24"/>
      <c r="C91" s="23"/>
      <c r="D91" s="23"/>
      <c r="E91" s="36" t="s">
        <v>0</v>
      </c>
      <c r="F91" s="36"/>
      <c r="G91" s="25">
        <f>G90*19%</f>
        <v>0</v>
      </c>
    </row>
    <row r="92" spans="1:7" s="26" customFormat="1" ht="24.95" customHeight="1" x14ac:dyDescent="0.25">
      <c r="A92" s="23"/>
      <c r="E92" s="32" t="s">
        <v>20</v>
      </c>
      <c r="F92" s="32"/>
      <c r="G92" s="25">
        <f>G90+G91</f>
        <v>0</v>
      </c>
    </row>
    <row r="94" spans="1:7" ht="30" customHeight="1" x14ac:dyDescent="0.2">
      <c r="B94" s="43" t="s">
        <v>9</v>
      </c>
      <c r="C94" s="43"/>
      <c r="D94" s="43"/>
    </row>
    <row r="95" spans="1:7" x14ac:dyDescent="0.2">
      <c r="B95" s="37" t="s">
        <v>19</v>
      </c>
      <c r="C95" s="37"/>
      <c r="D95" s="37"/>
      <c r="E95" s="37"/>
      <c r="F95" s="37"/>
    </row>
    <row r="96" spans="1:7" ht="30" customHeight="1" x14ac:dyDescent="0.2"/>
    <row r="97" spans="1:7" x14ac:dyDescent="0.2">
      <c r="B97" s="40" t="s">
        <v>16</v>
      </c>
      <c r="C97" s="40"/>
      <c r="D97" s="40"/>
      <c r="E97" s="40"/>
      <c r="F97" s="40"/>
      <c r="G97" s="40"/>
    </row>
    <row r="98" spans="1:7" ht="117.75" customHeight="1" x14ac:dyDescent="0.2">
      <c r="B98" s="39" t="s">
        <v>17</v>
      </c>
      <c r="C98" s="39"/>
      <c r="D98" s="39"/>
      <c r="E98" s="39"/>
      <c r="F98" s="39"/>
      <c r="G98" s="39"/>
    </row>
    <row r="99" spans="1:7" ht="25.5" customHeight="1" x14ac:dyDescent="0.2">
      <c r="B99" s="30"/>
      <c r="C99" s="30"/>
      <c r="D99" s="30"/>
      <c r="E99" s="30"/>
      <c r="F99" s="30"/>
      <c r="G99" s="30"/>
    </row>
    <row r="100" spans="1:7" ht="27.75" customHeight="1" x14ac:dyDescent="0.2">
      <c r="B100" s="30"/>
      <c r="C100" s="30"/>
      <c r="D100" s="30"/>
      <c r="E100" s="30"/>
      <c r="F100" s="30"/>
      <c r="G100" s="30"/>
    </row>
    <row r="102" spans="1:7" ht="17.25" customHeight="1" thickBot="1" x14ac:dyDescent="0.25">
      <c r="F102" s="7"/>
    </row>
    <row r="103" spans="1:7" ht="25.5" customHeight="1" x14ac:dyDescent="0.2">
      <c r="B103" s="15"/>
      <c r="C103" s="38" t="s">
        <v>3</v>
      </c>
      <c r="D103" s="38"/>
      <c r="E103" s="38"/>
      <c r="F103" s="38"/>
    </row>
    <row r="104" spans="1:7" ht="25.5" customHeight="1" x14ac:dyDescent="0.2">
      <c r="B104" s="15"/>
      <c r="C104" s="31"/>
      <c r="D104" s="31"/>
      <c r="E104" s="31"/>
      <c r="F104" s="31"/>
    </row>
    <row r="105" spans="1:7" s="3" customFormat="1" ht="14.25" customHeight="1" x14ac:dyDescent="0.2">
      <c r="A105" s="2"/>
      <c r="B105" s="35" t="s">
        <v>1</v>
      </c>
      <c r="C105" s="35"/>
      <c r="D105" s="35"/>
      <c r="E105" s="35"/>
      <c r="F105" s="35"/>
      <c r="G105" s="6"/>
    </row>
  </sheetData>
  <mergeCells count="16">
    <mergeCell ref="E92:F92"/>
    <mergeCell ref="A3:G3"/>
    <mergeCell ref="A2:G2"/>
    <mergeCell ref="A1:G1"/>
    <mergeCell ref="B105:F105"/>
    <mergeCell ref="E90:F90"/>
    <mergeCell ref="E91:F91"/>
    <mergeCell ref="B95:F95"/>
    <mergeCell ref="C103:F103"/>
    <mergeCell ref="B98:G98"/>
    <mergeCell ref="B97:G97"/>
    <mergeCell ref="C5:F5"/>
    <mergeCell ref="C6:F6"/>
    <mergeCell ref="C7:F7"/>
    <mergeCell ref="C8:F8"/>
    <mergeCell ref="B94:D94"/>
  </mergeCells>
  <pageMargins left="0.51181102362204722" right="0.31496062992125984" top="0.74803149606299213" bottom="0.59055118110236227" header="0.31496062992125984" footer="0.31496062992125984"/>
  <pageSetup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Hoja1</vt:lpstr>
      <vt:lpstr>Hoja1!Área_de_impresión</vt:lpstr>
      <vt:lpstr>Hoja1!Títulos_a_imprimir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Javiera A. Espinoza Lopez</dc:creator>
  <cp:lastModifiedBy>Pabla Godoi</cp:lastModifiedBy>
  <cp:lastPrinted>2026-07-10T16:01:42Z</cp:lastPrinted>
  <dcterms:created xsi:type="dcterms:W3CDTF">2021-08-31T13:59:40Z</dcterms:created>
  <dcterms:modified xsi:type="dcterms:W3CDTF">2026-07-10T16:05:44Z</dcterms:modified>
</cp:coreProperties>
</file>