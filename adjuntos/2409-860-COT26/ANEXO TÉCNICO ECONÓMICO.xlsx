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2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6" i="1"/>
  <c r="G17" i="1"/>
  <c r="G10" i="1" l="1"/>
  <c r="G11" i="1"/>
  <c r="G12" i="1"/>
  <c r="G13" i="1"/>
  <c r="G14" i="1"/>
  <c r="G18" i="1"/>
  <c r="G19" i="1"/>
  <c r="G20" i="1"/>
  <c r="G21" i="1"/>
  <c r="G22" i="1"/>
  <c r="G9" i="1" l="1"/>
  <c r="G23" i="1" s="1"/>
  <c r="G24" i="1" l="1"/>
  <c r="G25" i="1" l="1"/>
</calcChain>
</file>

<file path=xl/sharedStrings.xml><?xml version="1.0" encoding="utf-8"?>
<sst xmlns="http://schemas.openxmlformats.org/spreadsheetml/2006/main" count="68" uniqueCount="40">
  <si>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</si>
  <si>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</si>
  <si>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</si>
  <si>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</si>
  <si>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</si>
  <si>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</si>
  <si>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</si>
  <si>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</si>
  <si>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</si>
  <si>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</si>
  <si>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</si>
  <si>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</si>
  <si>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</si>
  <si>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</si>
  <si>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</si>
  <si>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</si>
  <si>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</si>
  <si>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</si>
  <si>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</si>
  <si>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</si>
  <si>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</si>
  <si>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</si>
  <si>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</si>
  <si>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Adaptador USB a HDMI- conector USB 3,0</t>
  </si>
  <si>
    <t>Cable Hdmi 3 mts-</t>
  </si>
  <si>
    <t>Cable plug- cable Recto 1 Plug 3.5st A 3.5st 1.8mts. Cable de Audio Estéreo de 3.5mm Delgado de Ángulo Recto.</t>
  </si>
  <si>
    <t>Mouse Inalámbrico- mouse ergonómico, recargable.</t>
  </si>
  <si>
    <t>Mouse óptico con cable USB</t>
  </si>
  <si>
    <t>Alargador 3 mts certificado sec.</t>
  </si>
  <si>
    <t>Cable extensión eléctrica de 10 mts</t>
  </si>
  <si>
    <t>Tinta para sublimación amarilla 100ml</t>
  </si>
  <si>
    <t>Tinta para sublimación c an 100ml</t>
  </si>
  <si>
    <t>Tinta para sublimación magenta 100ml</t>
  </si>
  <si>
    <t>Tinta para sublimación negra 100ml</t>
  </si>
  <si>
    <t>Cinta térmica sublimación 5mm  metros.</t>
  </si>
  <si>
    <t>Hub USB 4 puertos.</t>
  </si>
  <si>
    <t>Cable de red rj45 2 mts</t>
  </si>
  <si>
    <t>UNIDADES</t>
  </si>
  <si>
    <t>ADQUISICION DE CABLES Y CONECTORES PARA ESCUELA G-914 EL AMANECER DE DUQUECO.</t>
  </si>
  <si>
    <t>COMPRA AGIL ID 2409-860-COT26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</si>
</sst>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39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38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x14ac:dyDescent="0.3">
      <c r="A9" s="15">
        <v>1</v>
      </c>
      <c r="B9" s="16" t="s">
        <v>23</v>
      </c>
      <c r="C9" s="17" t="s">
        <v>37</v>
      </c>
      <c r="D9" s="18"/>
      <c r="E9" s="15">
        <v>25</v>
      </c>
      <c r="F9" s="13"/>
      <c r="G9" s="15">
        <f>E9*F9</f>
        <v>0</v>
      </c>
    </row>
    <row r="10" spans="1:9" s="14" customFormat="1" x14ac:dyDescent="0.3">
      <c r="A10" s="15">
        <v>2</v>
      </c>
      <c r="B10" s="16" t="s">
        <v>24</v>
      </c>
      <c r="C10" s="17" t="s">
        <v>37</v>
      </c>
      <c r="D10" s="18"/>
      <c r="E10" s="15">
        <v>25</v>
      </c>
      <c r="F10" s="13"/>
      <c r="G10" s="15">
        <f t="shared" ref="G10:G22" si="0">E10*F10</f>
        <v>0</v>
      </c>
    </row>
    <row r="11" spans="1:9" s="14" customFormat="1" ht="41.4" x14ac:dyDescent="0.3">
      <c r="A11" s="15">
        <v>3</v>
      </c>
      <c r="B11" s="16" t="s">
        <v>25</v>
      </c>
      <c r="C11" s="17" t="s">
        <v>37</v>
      </c>
      <c r="D11" s="18"/>
      <c r="E11" s="15">
        <v>20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26</v>
      </c>
      <c r="C12" s="17" t="s">
        <v>37</v>
      </c>
      <c r="D12" s="18"/>
      <c r="E12" s="15">
        <v>20</v>
      </c>
      <c r="F12" s="13"/>
      <c r="G12" s="15">
        <f t="shared" si="0"/>
        <v>0</v>
      </c>
    </row>
    <row r="13" spans="1:9" s="14" customFormat="1" x14ac:dyDescent="0.3">
      <c r="A13" s="15">
        <v>5</v>
      </c>
      <c r="B13" s="16" t="s">
        <v>27</v>
      </c>
      <c r="C13" s="17" t="s">
        <v>37</v>
      </c>
      <c r="D13" s="18"/>
      <c r="E13" s="15">
        <v>15</v>
      </c>
      <c r="F13" s="13"/>
      <c r="G13" s="15">
        <f t="shared" si="0"/>
        <v>0</v>
      </c>
    </row>
    <row r="14" spans="1:9" s="14" customFormat="1" x14ac:dyDescent="0.3">
      <c r="A14" s="15">
        <v>6</v>
      </c>
      <c r="B14" s="16" t="s">
        <v>28</v>
      </c>
      <c r="C14" s="17" t="s">
        <v>37</v>
      </c>
      <c r="D14" s="18"/>
      <c r="E14" s="15">
        <v>15</v>
      </c>
      <c r="F14" s="13"/>
      <c r="G14" s="15">
        <f t="shared" si="0"/>
        <v>0</v>
      </c>
    </row>
    <row r="15" spans="1:9" s="14" customFormat="1" x14ac:dyDescent="0.3">
      <c r="A15" s="15">
        <v>7</v>
      </c>
      <c r="B15" s="16" t="s">
        <v>29</v>
      </c>
      <c r="C15" s="17" t="s">
        <v>37</v>
      </c>
      <c r="D15" s="18"/>
      <c r="E15" s="15">
        <v>2</v>
      </c>
      <c r="F15" s="13"/>
      <c r="G15" s="15">
        <f t="shared" si="0"/>
        <v>0</v>
      </c>
    </row>
    <row r="16" spans="1:9" s="14" customFormat="1" x14ac:dyDescent="0.3">
      <c r="A16" s="15">
        <v>8</v>
      </c>
      <c r="B16" s="16" t="s">
        <v>30</v>
      </c>
      <c r="C16" s="17" t="s">
        <v>37</v>
      </c>
      <c r="D16" s="18"/>
      <c r="E16" s="15">
        <v>2</v>
      </c>
      <c r="F16" s="13"/>
      <c r="G16" s="15">
        <f t="shared" si="0"/>
        <v>0</v>
      </c>
    </row>
    <row r="17" spans="1:7" s="14" customFormat="1" x14ac:dyDescent="0.3">
      <c r="A17" s="15">
        <v>9</v>
      </c>
      <c r="B17" s="16" t="s">
        <v>31</v>
      </c>
      <c r="C17" s="17" t="s">
        <v>37</v>
      </c>
      <c r="D17" s="18"/>
      <c r="E17" s="15">
        <v>2</v>
      </c>
      <c r="F17" s="13"/>
      <c r="G17" s="15">
        <f t="shared" si="0"/>
        <v>0</v>
      </c>
    </row>
    <row r="18" spans="1:7" s="14" customFormat="1" x14ac:dyDescent="0.3">
      <c r="A18" s="15">
        <v>10</v>
      </c>
      <c r="B18" s="16" t="s">
        <v>32</v>
      </c>
      <c r="C18" s="17" t="s">
        <v>37</v>
      </c>
      <c r="D18" s="18"/>
      <c r="E18" s="15">
        <v>2</v>
      </c>
      <c r="F18" s="13"/>
      <c r="G18" s="15">
        <f t="shared" si="0"/>
        <v>0</v>
      </c>
    </row>
    <row r="19" spans="1:7" s="14" customFormat="1" x14ac:dyDescent="0.3">
      <c r="A19" s="15">
        <v>11</v>
      </c>
      <c r="B19" s="16" t="s">
        <v>33</v>
      </c>
      <c r="C19" s="17" t="s">
        <v>37</v>
      </c>
      <c r="D19" s="18"/>
      <c r="E19" s="15">
        <v>2</v>
      </c>
      <c r="F19" s="13"/>
      <c r="G19" s="15">
        <f t="shared" si="0"/>
        <v>0</v>
      </c>
    </row>
    <row r="20" spans="1:7" s="14" customFormat="1" x14ac:dyDescent="0.3">
      <c r="A20" s="15">
        <v>12</v>
      </c>
      <c r="B20" s="16" t="s">
        <v>34</v>
      </c>
      <c r="C20" s="17" t="s">
        <v>37</v>
      </c>
      <c r="D20" s="18"/>
      <c r="E20" s="15">
        <v>5</v>
      </c>
      <c r="F20" s="13"/>
      <c r="G20" s="15">
        <f t="shared" si="0"/>
        <v>0</v>
      </c>
    </row>
    <row r="21" spans="1:7" s="14" customFormat="1" x14ac:dyDescent="0.3">
      <c r="A21" s="15">
        <v>13</v>
      </c>
      <c r="B21" s="16" t="s">
        <v>35</v>
      </c>
      <c r="C21" s="17" t="s">
        <v>37</v>
      </c>
      <c r="D21" s="18"/>
      <c r="E21" s="15">
        <v>20</v>
      </c>
      <c r="F21" s="13"/>
      <c r="G21" s="15">
        <f t="shared" si="0"/>
        <v>0</v>
      </c>
    </row>
    <row r="22" spans="1:7" s="14" customFormat="1" x14ac:dyDescent="0.3">
      <c r="A22" s="15">
        <v>14</v>
      </c>
      <c r="B22" s="16" t="s">
        <v>36</v>
      </c>
      <c r="C22" s="17" t="s">
        <v>37</v>
      </c>
      <c r="D22" s="18"/>
      <c r="E22" s="15">
        <v>50</v>
      </c>
      <c r="F22" s="13"/>
      <c r="G22" s="15">
        <f t="shared" si="0"/>
        <v>0</v>
      </c>
    </row>
    <row r="23" spans="1:7" ht="30.75" customHeight="1" x14ac:dyDescent="0.25">
      <c r="E23" s="38" t="s">
        <v>7</v>
      </c>
      <c r="F23" s="38"/>
      <c r="G23" s="20">
        <f>SUM(G9:G22)</f>
        <v>0</v>
      </c>
    </row>
    <row r="24" spans="1:7" x14ac:dyDescent="0.25">
      <c r="E24" s="38" t="s">
        <v>5</v>
      </c>
      <c r="F24" s="38"/>
      <c r="G24" s="20">
        <f>G23*19%</f>
        <v>0</v>
      </c>
    </row>
    <row r="25" spans="1:7" ht="30.75" customHeight="1" x14ac:dyDescent="0.25">
      <c r="E25" s="38" t="s">
        <v>4</v>
      </c>
      <c r="F25" s="38"/>
      <c r="G25" s="20">
        <f>G23*(1+0.19)</f>
        <v>0</v>
      </c>
    </row>
    <row r="26" spans="1:7" ht="30.75" customHeight="1" thickBot="1" x14ac:dyDescent="0.3">
      <c r="B26" s="39" t="s">
        <v>14</v>
      </c>
      <c r="C26" s="39"/>
      <c r="D26" s="39"/>
      <c r="E26" s="39"/>
      <c r="F26" s="39"/>
    </row>
    <row r="27" spans="1:7" x14ac:dyDescent="0.25">
      <c r="B27" s="21" t="s">
        <v>15</v>
      </c>
      <c r="C27" s="22"/>
      <c r="D27" s="22"/>
      <c r="E27" s="23"/>
      <c r="F27" s="24"/>
    </row>
    <row r="28" spans="1:7" ht="139.80000000000001" customHeight="1" x14ac:dyDescent="0.25">
      <c r="B28" s="40" t="s">
        <v>21</v>
      </c>
      <c r="C28" s="41" t="s">
        <v>16</v>
      </c>
      <c r="D28" s="41" t="s">
        <v>16</v>
      </c>
      <c r="E28" s="41" t="s">
        <v>16</v>
      </c>
      <c r="F28" s="42" t="s">
        <v>16</v>
      </c>
    </row>
    <row r="29" spans="1:7" s="26" customFormat="1" ht="72.599999999999994" customHeight="1" x14ac:dyDescent="0.25">
      <c r="A29" s="25"/>
      <c r="B29" s="40" t="s">
        <v>20</v>
      </c>
      <c r="C29" s="41" t="s">
        <v>17</v>
      </c>
      <c r="D29" s="41" t="s">
        <v>17</v>
      </c>
      <c r="E29" s="41" t="s">
        <v>17</v>
      </c>
      <c r="F29" s="42" t="s">
        <v>17</v>
      </c>
      <c r="G29" s="25"/>
    </row>
    <row r="30" spans="1:7" s="26" customFormat="1" ht="24" customHeight="1" x14ac:dyDescent="0.25">
      <c r="A30" s="25"/>
      <c r="B30" s="40" t="s">
        <v>18</v>
      </c>
      <c r="C30" s="41" t="s">
        <v>18</v>
      </c>
      <c r="D30" s="41" t="s">
        <v>18</v>
      </c>
      <c r="E30" s="41" t="s">
        <v>18</v>
      </c>
      <c r="F30" s="42" t="s">
        <v>18</v>
      </c>
      <c r="G30" s="25"/>
    </row>
    <row r="31" spans="1:7" s="26" customFormat="1" ht="33" customHeight="1" thickBot="1" x14ac:dyDescent="0.3">
      <c r="A31" s="25"/>
      <c r="B31" s="43" t="s">
        <v>19</v>
      </c>
      <c r="C31" s="44" t="s">
        <v>19</v>
      </c>
      <c r="D31" s="44" t="s">
        <v>19</v>
      </c>
      <c r="E31" s="44" t="s">
        <v>19</v>
      </c>
      <c r="F31" s="45" t="s">
        <v>19</v>
      </c>
      <c r="G31" s="25"/>
    </row>
    <row r="32" spans="1:7" s="26" customFormat="1" ht="45" customHeight="1" x14ac:dyDescent="0.25">
      <c r="A32" s="25"/>
      <c r="B32" s="27"/>
      <c r="C32" s="27"/>
      <c r="D32" s="27"/>
      <c r="E32" s="27"/>
      <c r="F32" s="27"/>
      <c r="G32" s="25"/>
    </row>
    <row r="35" spans="1:7" ht="14.4" thickBot="1" x14ac:dyDescent="0.3">
      <c r="F35" s="28"/>
    </row>
    <row r="36" spans="1:7" ht="25.5" customHeight="1" x14ac:dyDescent="0.25">
      <c r="B36" s="29" t="s">
        <v>8</v>
      </c>
      <c r="C36" s="30"/>
      <c r="D36" s="30"/>
      <c r="E36" s="31"/>
      <c r="F36" s="30"/>
    </row>
    <row r="37" spans="1:7" x14ac:dyDescent="0.25">
      <c r="B37" s="32"/>
      <c r="C37" s="33"/>
      <c r="D37" s="33"/>
      <c r="E37" s="2"/>
      <c r="F37" s="2"/>
    </row>
    <row r="38" spans="1:7" x14ac:dyDescent="0.25">
      <c r="E38" s="2"/>
      <c r="F38" s="2"/>
    </row>
    <row r="39" spans="1:7" s="34" customFormat="1" ht="14.25" customHeight="1" x14ac:dyDescent="0.25">
      <c r="A39" s="19"/>
      <c r="B39" s="37" t="s">
        <v>6</v>
      </c>
      <c r="C39" s="37"/>
      <c r="D39" s="37"/>
      <c r="E39" s="37"/>
      <c r="F39" s="37"/>
      <c r="G39" s="19"/>
    </row>
  </sheetData>
  <mergeCells count="12">
    <mergeCell ref="A3:G3"/>
    <mergeCell ref="A2:G2"/>
    <mergeCell ref="A1:G1"/>
    <mergeCell ref="B39:F39"/>
    <mergeCell ref="E23:F23"/>
    <mergeCell ref="E24:F24"/>
    <mergeCell ref="E25:F25"/>
    <mergeCell ref="B26:F26"/>
    <mergeCell ref="B29:F29"/>
    <mergeCell ref="B28:F28"/>
    <mergeCell ref="B30:F30"/>
    <mergeCell ref="B31:F3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2026-07-08T15:32:56Z</dcterms:modified>
</cp:coreProperties>
</file>