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jroliva\ABASTECIMIENTO\AAÑO 2026\REPARACION CERAMICO\"/>
    </mc:Choice>
  </mc:AlternateContent>
  <xr:revisionPtr revIDLastSave="0" documentId="13_ncr:1_{8FFC2F01-709A-4BCA-87CA-1787C49FA0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PP San Bernardo" sheetId="2" r:id="rId1"/>
    <sheet name="Hoja1" sheetId="3" r:id="rId2"/>
  </sheets>
  <definedNames>
    <definedName name="_xlnm.Print_Area" localSheetId="0">'RPP San Bernardo'!$A$1:$G$66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F43" i="2"/>
  <c r="E65" i="2"/>
  <c r="D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2" i="2"/>
  <c r="F41" i="2"/>
  <c r="F40" i="2"/>
  <c r="F65" i="2"/>
  <c r="G6" i="2"/>
  <c r="G8" i="2"/>
  <c r="G9" i="2"/>
  <c r="G10" i="2"/>
</calcChain>
</file>

<file path=xl/sharedStrings.xml><?xml version="1.0" encoding="utf-8"?>
<sst xmlns="http://schemas.openxmlformats.org/spreadsheetml/2006/main" count="95" uniqueCount="62">
  <si>
    <t>Oferente:</t>
  </si>
  <si>
    <t>Item</t>
  </si>
  <si>
    <t>Partida</t>
  </si>
  <si>
    <t>Unidad</t>
  </si>
  <si>
    <t>Cantidad</t>
  </si>
  <si>
    <t>Valor unitario</t>
  </si>
  <si>
    <t>Valor total</t>
  </si>
  <si>
    <t>I.V.A.</t>
  </si>
  <si>
    <t>COSTO TOTAL</t>
  </si>
  <si>
    <t xml:space="preserve">Nota: </t>
  </si>
  <si>
    <t>El oferente debe llenar solo las casillas destacadas en amarillo y por ningún motivo modificar las fórmulas.</t>
  </si>
  <si>
    <t>____________ Días hábiles. Información OBLIGATORIA</t>
  </si>
  <si>
    <t xml:space="preserve">PLAZO DE GARANTIA (Se exige un periodo mínimo de 06 meses posterior a la recepción de los servicios)  </t>
  </si>
  <si>
    <t>____________ Meses. Información OBLIGATORIA</t>
  </si>
  <si>
    <t xml:space="preserve">*Cualquier otra situación no expresada acá será evaluado por comisión de evaluación. </t>
  </si>
  <si>
    <t>FIRMA EMPRESA</t>
  </si>
  <si>
    <t>Fecha</t>
  </si>
  <si>
    <r>
      <t xml:space="preserve">    </t>
    </r>
    <r>
      <rPr>
        <b/>
        <sz val="10"/>
        <color rgb="FF000000"/>
        <rFont val="Arial"/>
        <family val="2"/>
      </rPr>
      <t>Nombre de Empresa o Persona Natural</t>
    </r>
    <r>
      <rPr>
        <sz val="10"/>
        <color rgb="FF000000"/>
        <rFont val="Arial"/>
        <family val="2"/>
      </rPr>
      <t xml:space="preserve"> : </t>
    </r>
  </si>
  <si>
    <t>NETO</t>
  </si>
  <si>
    <t>Nota 1: El Oferente deberá considerar en sus valores unitarios mano de obra, G.G y utilidad y completar todas las partidas del formulario Económico N°1</t>
  </si>
  <si>
    <t>Nota 2: Se declara inadmisible la oferta por los siguientes motivos:</t>
  </si>
  <si>
    <t xml:space="preserve">Nota 3: Deberá expresar los montos ofertados como máximo con 02 decimales. </t>
  </si>
  <si>
    <t xml:space="preserve">  Modificar Ítemizado   
  Que la información solicitada en Formulario Económico N°1, NO sea entregada.
  Cualquier error en la sumatoria de las partidas del itemizado dará motivo a declarar la oferta inadmisible.</t>
  </si>
  <si>
    <t xml:space="preserve">Retiro, suministro e instalación de pavimentos 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</si>
  <si>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</si>
  <si>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DETALLE DE UBICACIÓN DE LOS PAVIMENTOS A REEMPLAZAR</t>
  </si>
  <si>
    <t>PISO</t>
  </si>
  <si>
    <t>LARGO (m)</t>
  </si>
  <si>
    <t>ANCHO (m)</t>
  </si>
  <si>
    <r>
      <t>SUPERFICIE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</si>
  <si>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Pasillo sur (of. 130)</t>
  </si>
  <si>
    <t>Pasillo comedor</t>
  </si>
  <si>
    <t xml:space="preserve">Pasillo norte (of. 110) </t>
  </si>
  <si>
    <t xml:space="preserve">Pasillo norte (of. 122) </t>
  </si>
  <si>
    <t>Of. 121</t>
  </si>
  <si>
    <t>Hall TTD</t>
  </si>
  <si>
    <t xml:space="preserve"> Accseso Hall guardia</t>
  </si>
  <si>
    <t>Of. 209</t>
  </si>
  <si>
    <t>Sala 3</t>
  </si>
  <si>
    <t>Pasillo sur (of. 220)</t>
  </si>
  <si>
    <t>Hall sala 3</t>
  </si>
  <si>
    <t xml:space="preserve">Of. 310 </t>
  </si>
  <si>
    <t>Unidad de Causas</t>
  </si>
  <si>
    <t>Escala 3°-4° (Hall)</t>
  </si>
  <si>
    <t>Ascensor 3 (Hall)</t>
  </si>
  <si>
    <t>Hall sala 6</t>
  </si>
  <si>
    <t>Pasillo norte</t>
  </si>
  <si>
    <t>Unidad de Notificaciones</t>
  </si>
  <si>
    <t>Hall (sala 8)</t>
  </si>
  <si>
    <t>Pasillo sur</t>
  </si>
  <si>
    <t>Of. 513</t>
  </si>
  <si>
    <t>Of. 512</t>
  </si>
  <si>
    <t>Pasillo norte (Of. 507)</t>
  </si>
  <si>
    <t>Of. 502</t>
  </si>
  <si>
    <t>TOTAL</t>
  </si>
  <si>
    <t>1.1</t>
  </si>
  <si>
    <t>Cerámico de 40x40 cm</t>
  </si>
  <si>
    <t xml:space="preserve">PLAZO DE ENTREGA (Plazo máximo de 10 días hábiles, caso contrario queda inadmisible) </t>
  </si>
  <si>
    <t xml:space="preserve">FORMULARIO ECONÓMICO N°1 - de  “Retiro, suministro e instalación de pavimientos en Juzgado de Garantia  de San Bernardo” </t>
  </si>
  <si>
    <t xml:space="preserve">UBICACION </t>
  </si>
  <si>
    <t>Bodega de bidones</t>
  </si>
  <si>
    <t>SUPERFICIE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</si>
</sst>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&quot;$&quot;\ * #,##0.00_-;\-&quot;$&quot;\ * #,##0.00_-;_-&quot;$&quot;\ * &quot;-&quot;??_-;_-@_-"/>
    <numFmt numFmtId="165" formatCode="_-&quot;$&quot;\ * #,##0.000_-;\-&quot;$&quot;\ * #,##0.000_-;_-&quot;$&quot;\ * &quot;-&quot;??_-;_-@_-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sz val="12"/>
      <color rgb="FF000000"/>
      <name val="Arial Narrow"/>
      <family val="2"/>
    </font>
    <font>
      <sz val="12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5"/>
      </patternFill>
    </fill>
    <fill>
      <patternFill patternType="solid">
        <fgColor rgb="FFFFFF00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7" fillId="0" borderId="0" applyFont="0" applyFill="0" applyBorder="0" applyProtection="0"/>
    <xf numFmtId="9" fontId="7" fillId="0" borderId="0" applyFont="0" applyFill="0" applyBorder="0" applyProtection="0"/>
    <xf numFmtId="42" fontId="16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0" xfId="0" applyFont="1"/>
    <xf numFmtId="0" fontId="8" fillId="0" borderId="0" xfId="0" applyFont="1" applyAlignment="1">
      <alignment horizontal="left" vertical="center" indent="5"/>
    </xf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horizontal="center"/>
    </xf>
    <xf numFmtId="0" fontId="9" fillId="0" borderId="21" xfId="0" applyFont="1" applyBorder="1"/>
    <xf numFmtId="0" fontId="5" fillId="0" borderId="8" xfId="0" applyFont="1" applyBorder="1"/>
    <xf numFmtId="0" fontId="12" fillId="0" borderId="0" xfId="0" applyFont="1" applyAlignment="1">
      <alignment horizontal="left" vertical="center" indent="5"/>
    </xf>
    <xf numFmtId="0" fontId="12" fillId="0" borderId="0" xfId="0" applyFont="1" applyAlignment="1">
      <alignment horizontal="left" vertical="center" indent="1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4" fontId="4" fillId="2" borderId="16" xfId="1" applyFont="1" applyFill="1" applyBorder="1" applyAlignment="1">
      <alignment horizontal="center" vertical="center"/>
    </xf>
    <xf numFmtId="164" fontId="4" fillId="4" borderId="15" xfId="1" applyFont="1" applyFill="1" applyBorder="1" applyAlignment="1">
      <alignment horizontal="center" vertical="center"/>
    </xf>
    <xf numFmtId="9" fontId="4" fillId="0" borderId="7" xfId="2" applyFont="1" applyBorder="1"/>
    <xf numFmtId="0" fontId="5" fillId="0" borderId="25" xfId="0" applyFont="1" applyBorder="1"/>
    <xf numFmtId="0" fontId="5" fillId="0" borderId="21" xfId="0" applyFont="1" applyBorder="1"/>
    <xf numFmtId="0" fontId="4" fillId="0" borderId="21" xfId="0" applyFont="1" applyBorder="1" applyAlignment="1">
      <alignment horizontal="center" vertical="center"/>
    </xf>
    <xf numFmtId="2" fontId="4" fillId="3" borderId="21" xfId="0" applyNumberFormat="1" applyFont="1" applyFill="1" applyBorder="1" applyAlignment="1">
      <alignment horizontal="center" vertical="center"/>
    </xf>
    <xf numFmtId="164" fontId="4" fillId="3" borderId="21" xfId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64" fontId="4" fillId="0" borderId="9" xfId="1" applyFont="1" applyFill="1" applyBorder="1" applyAlignment="1">
      <alignment horizontal="center" vertical="center"/>
    </xf>
    <xf numFmtId="164" fontId="4" fillId="0" borderId="10" xfId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5"/>
    </xf>
    <xf numFmtId="2" fontId="4" fillId="4" borderId="15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0" xfId="0" applyFont="1"/>
    <xf numFmtId="0" fontId="0" fillId="0" borderId="11" xfId="0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5" fontId="4" fillId="2" borderId="26" xfId="1" applyNumberFormat="1" applyFont="1" applyFill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41" xfId="0" applyBorder="1"/>
    <xf numFmtId="0" fontId="0" fillId="0" borderId="33" xfId="0" applyBorder="1"/>
    <xf numFmtId="0" fontId="0" fillId="0" borderId="41" xfId="0" applyBorder="1" applyAlignment="1">
      <alignment horizontal="center"/>
    </xf>
    <xf numFmtId="0" fontId="5" fillId="6" borderId="4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29" xfId="0" applyBorder="1"/>
    <xf numFmtId="0" fontId="0" fillId="0" borderId="3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42" fontId="0" fillId="0" borderId="0" xfId="3" applyFont="1"/>
    <xf numFmtId="42" fontId="13" fillId="0" borderId="0" xfId="0" applyNumberFormat="1" applyFont="1" applyAlignment="1">
      <alignment horizontal="left" vertical="center" indent="5"/>
    </xf>
    <xf numFmtId="42" fontId="0" fillId="0" borderId="0" xfId="0" applyNumberFormat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21" xfId="0" applyFont="1" applyBorder="1" applyAlignment="1">
      <alignment horizontal="center"/>
    </xf>
    <xf numFmtId="0" fontId="8" fillId="5" borderId="18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" fillId="0" borderId="0" xfId="0" applyFont="1"/>
    <xf numFmtId="0" fontId="1" fillId="0" borderId="15" xfId="0" applyFont="1" applyBorder="1" applyAlignment="1">
      <alignment horizontal="center" vertical="center"/>
    </xf>
  </cellXfs>
  <cellStyles count="4">
    <cellStyle name="Moneda" xfId="1" builtinId="4"/>
    <cellStyle name="Moneda [0]" xfId="3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5"/>
  <sheetViews>
    <sheetView showGridLines="0" tabSelected="1" zoomScale="95" workbookViewId="0">
      <selection activeCell="C6" sqref="C6"/>
    </sheetView>
  </sheetViews>
  <sheetFormatPr baseColWidth="10" defaultRowHeight="15" x14ac:dyDescent="0.25"/>
  <cols>
    <col min="1" max="1" width="3.42578125" customWidth="1"/>
    <col min="2" max="2" width="9.5703125" customWidth="1"/>
    <col min="3" max="3" width="42.85546875" customWidth="1"/>
    <col min="4" max="4" width="8.140625" customWidth="1"/>
    <col min="5" max="5" width="10.140625" customWidth="1"/>
    <col min="6" max="6" width="15" bestFit="1" customWidth="1"/>
    <col min="7" max="7" width="16.140625" bestFit="1" customWidth="1"/>
    <col min="10" max="10" width="20" bestFit="1" customWidth="1"/>
  </cols>
  <sheetData>
    <row r="1" spans="2:12" ht="15.75" thickBot="1" x14ac:dyDescent="0.3">
      <c r="D1" s="1"/>
      <c r="E1" s="1"/>
    </row>
    <row r="2" spans="2:12" ht="30.75" customHeight="1" x14ac:dyDescent="0.25">
      <c r="B2" s="93" t="s">
        <v>58</v>
      </c>
      <c r="C2" s="94"/>
      <c r="D2" s="94"/>
      <c r="E2" s="94"/>
      <c r="F2" s="94"/>
      <c r="G2" s="95"/>
      <c r="K2" s="80"/>
    </row>
    <row r="3" spans="2:12" ht="15.75" thickBot="1" x14ac:dyDescent="0.3">
      <c r="B3" s="2" t="s">
        <v>0</v>
      </c>
      <c r="C3" s="96"/>
      <c r="D3" s="97"/>
      <c r="E3" s="97"/>
      <c r="F3" s="97"/>
      <c r="G3" s="98"/>
      <c r="K3" s="80"/>
    </row>
    <row r="4" spans="2:12" ht="24" customHeight="1" thickBot="1" x14ac:dyDescent="0.3">
      <c r="B4" s="49" t="s">
        <v>1</v>
      </c>
      <c r="C4" s="50" t="s">
        <v>2</v>
      </c>
      <c r="D4" s="50" t="s">
        <v>3</v>
      </c>
      <c r="E4" s="50" t="s">
        <v>4</v>
      </c>
      <c r="F4" s="51" t="s">
        <v>5</v>
      </c>
      <c r="G4" s="52" t="s">
        <v>6</v>
      </c>
      <c r="K4" s="80"/>
    </row>
    <row r="5" spans="2:12" ht="15.75" x14ac:dyDescent="0.25">
      <c r="B5" s="54">
        <v>1</v>
      </c>
      <c r="C5" s="48" t="s">
        <v>23</v>
      </c>
      <c r="D5" s="16"/>
      <c r="E5" s="16"/>
      <c r="F5" s="16"/>
      <c r="G5" s="17"/>
      <c r="I5" s="14"/>
      <c r="K5" s="82"/>
    </row>
    <row r="6" spans="2:12" ht="17.25" x14ac:dyDescent="0.25">
      <c r="B6" s="55" t="s">
        <v>55</v>
      </c>
      <c r="C6" s="108" t="s">
        <v>56</v>
      </c>
      <c r="D6" s="109" t="s">
        <v>24</v>
      </c>
      <c r="E6" s="32">
        <v>60.24</v>
      </c>
      <c r="F6" s="19">
        <v>0</v>
      </c>
      <c r="G6" s="18">
        <f>E6*F6</f>
        <v>0</v>
      </c>
      <c r="I6" s="15"/>
      <c r="L6" s="80"/>
    </row>
    <row r="7" spans="2:12" ht="16.5" thickBot="1" x14ac:dyDescent="0.3">
      <c r="B7" s="13"/>
      <c r="C7" s="26"/>
      <c r="D7" s="27"/>
      <c r="E7" s="28"/>
      <c r="F7" s="29"/>
      <c r="G7" s="30"/>
      <c r="J7" s="81"/>
    </row>
    <row r="8" spans="2:12" ht="15.75" x14ac:dyDescent="0.25">
      <c r="B8" s="21" t="s">
        <v>18</v>
      </c>
      <c r="C8" s="22"/>
      <c r="D8" s="23"/>
      <c r="E8" s="24"/>
      <c r="F8" s="25"/>
      <c r="G8" s="56">
        <f>SUM(G6:G7)</f>
        <v>0</v>
      </c>
      <c r="J8" s="31"/>
    </row>
    <row r="9" spans="2:12" x14ac:dyDescent="0.25">
      <c r="B9" s="88" t="s">
        <v>7</v>
      </c>
      <c r="C9" s="89"/>
      <c r="D9" s="89"/>
      <c r="E9" s="89"/>
      <c r="F9" s="20">
        <v>0.19</v>
      </c>
      <c r="G9" s="57">
        <f>G8*F9</f>
        <v>0</v>
      </c>
      <c r="J9" s="80"/>
      <c r="L9" s="80"/>
    </row>
    <row r="10" spans="2:12" ht="15.75" thickBot="1" x14ac:dyDescent="0.3">
      <c r="B10" s="90" t="s">
        <v>8</v>
      </c>
      <c r="C10" s="91"/>
      <c r="D10" s="91"/>
      <c r="E10" s="91"/>
      <c r="F10" s="92"/>
      <c r="G10" s="58">
        <f>G8+G9</f>
        <v>0</v>
      </c>
      <c r="J10" s="82"/>
      <c r="L10" s="82"/>
    </row>
    <row r="11" spans="2:12" x14ac:dyDescent="0.25">
      <c r="D11" s="1"/>
      <c r="E11" s="1"/>
    </row>
    <row r="12" spans="2:12" x14ac:dyDescent="0.25">
      <c r="B12" t="s">
        <v>9</v>
      </c>
      <c r="C12" t="s">
        <v>10</v>
      </c>
      <c r="D12" s="1"/>
      <c r="E12" s="1"/>
    </row>
    <row r="14" spans="2:12" ht="29.25" customHeight="1" x14ac:dyDescent="0.25">
      <c r="B14" s="100" t="s">
        <v>19</v>
      </c>
      <c r="C14" s="100"/>
      <c r="D14" s="100"/>
      <c r="E14" s="100"/>
      <c r="F14" s="100"/>
      <c r="G14" s="100"/>
    </row>
    <row r="15" spans="2:12" x14ac:dyDescent="0.25">
      <c r="B15" s="99" t="s">
        <v>20</v>
      </c>
      <c r="C15" s="99"/>
      <c r="D15" s="99"/>
      <c r="E15" s="99"/>
      <c r="F15" s="99"/>
      <c r="G15" s="99"/>
    </row>
    <row r="16" spans="2:12" ht="51" customHeight="1" x14ac:dyDescent="0.25">
      <c r="B16" s="100" t="s">
        <v>22</v>
      </c>
      <c r="C16" s="100"/>
      <c r="D16" s="100"/>
      <c r="E16" s="100"/>
      <c r="F16" s="100"/>
      <c r="G16" s="100"/>
    </row>
    <row r="17" spans="2:7" x14ac:dyDescent="0.25">
      <c r="B17" s="99" t="s">
        <v>21</v>
      </c>
      <c r="C17" s="99"/>
      <c r="D17" s="99"/>
      <c r="E17" s="99"/>
      <c r="F17" s="99"/>
      <c r="G17" s="99"/>
    </row>
    <row r="18" spans="2:7" ht="15.75" thickBot="1" x14ac:dyDescent="0.3">
      <c r="B18" s="3"/>
      <c r="C18" s="3"/>
      <c r="D18" s="3"/>
      <c r="E18" s="3"/>
      <c r="F18" s="3"/>
      <c r="G18" s="3"/>
    </row>
    <row r="19" spans="2:7" ht="49.5" customHeight="1" thickBot="1" x14ac:dyDescent="0.3">
      <c r="B19" s="103" t="s">
        <v>57</v>
      </c>
      <c r="C19" s="104"/>
      <c r="D19" s="5" t="s">
        <v>11</v>
      </c>
      <c r="E19" s="6"/>
      <c r="F19" s="6"/>
      <c r="G19" s="7"/>
    </row>
    <row r="20" spans="2:7" x14ac:dyDescent="0.25">
      <c r="B20" s="3"/>
      <c r="C20" s="8"/>
      <c r="D20" s="4"/>
      <c r="E20" s="4"/>
      <c r="F20" s="4"/>
      <c r="G20" s="4"/>
    </row>
    <row r="21" spans="2:7" ht="36" customHeight="1" thickBot="1" x14ac:dyDescent="0.3">
      <c r="B21" s="105" t="s">
        <v>12</v>
      </c>
      <c r="C21" s="106"/>
      <c r="D21" s="5" t="s">
        <v>13</v>
      </c>
      <c r="E21" s="6"/>
      <c r="F21" s="6"/>
      <c r="G21" s="7"/>
    </row>
    <row r="22" spans="2:7" x14ac:dyDescent="0.25">
      <c r="B22" s="3"/>
      <c r="C22" s="8"/>
      <c r="D22" s="4"/>
      <c r="E22" s="4"/>
      <c r="F22" s="4"/>
      <c r="G22" s="4"/>
    </row>
    <row r="23" spans="2:7" x14ac:dyDescent="0.25">
      <c r="B23" s="99" t="s">
        <v>14</v>
      </c>
      <c r="C23" s="99"/>
      <c r="D23" s="99"/>
      <c r="E23" s="99"/>
      <c r="F23" s="99"/>
      <c r="G23" s="99"/>
    </row>
    <row r="24" spans="2:7" x14ac:dyDescent="0.25">
      <c r="B24" s="9"/>
      <c r="C24" s="8"/>
      <c r="D24" s="8"/>
      <c r="E24" s="8"/>
      <c r="F24" s="8"/>
      <c r="G24" s="8"/>
    </row>
    <row r="25" spans="2:7" x14ac:dyDescent="0.25">
      <c r="B25" s="9"/>
      <c r="C25" s="8"/>
      <c r="D25" s="8"/>
      <c r="E25" s="8"/>
      <c r="F25" s="8"/>
      <c r="G25" s="8"/>
    </row>
    <row r="26" spans="2:7" ht="39" customHeight="1" x14ac:dyDescent="0.25">
      <c r="B26" s="107" t="s">
        <v>17</v>
      </c>
      <c r="C26" s="107"/>
      <c r="D26" s="107"/>
      <c r="E26" s="107"/>
      <c r="F26" s="107"/>
      <c r="G26" s="107"/>
    </row>
    <row r="27" spans="2:7" x14ac:dyDescent="0.25">
      <c r="B27" s="10"/>
      <c r="C27" s="8"/>
      <c r="D27" s="8"/>
      <c r="E27" s="8"/>
      <c r="F27" s="8"/>
      <c r="G27" s="8"/>
    </row>
    <row r="28" spans="2:7" x14ac:dyDescent="0.25">
      <c r="B28" s="101"/>
      <c r="C28" s="101"/>
      <c r="D28" s="101"/>
      <c r="E28" s="8"/>
      <c r="F28" s="8"/>
      <c r="G28" s="8"/>
    </row>
    <row r="29" spans="2:7" x14ac:dyDescent="0.25">
      <c r="B29" s="102"/>
      <c r="C29" s="102"/>
      <c r="D29" s="102"/>
      <c r="E29" s="8"/>
      <c r="F29" s="8"/>
      <c r="G29" s="8"/>
    </row>
    <row r="30" spans="2:7" x14ac:dyDescent="0.25">
      <c r="B30" s="11"/>
      <c r="C30" s="11" t="s">
        <v>15</v>
      </c>
      <c r="D30" s="8"/>
      <c r="E30" s="8"/>
      <c r="F30" s="8"/>
      <c r="G30" s="8"/>
    </row>
    <row r="31" spans="2:7" x14ac:dyDescent="0.25">
      <c r="B31" s="11"/>
      <c r="C31" s="8"/>
      <c r="D31" s="8"/>
      <c r="E31" s="8"/>
      <c r="F31" s="8"/>
      <c r="G31" s="8"/>
    </row>
    <row r="32" spans="2:7" x14ac:dyDescent="0.25">
      <c r="B32" s="11"/>
      <c r="C32" s="8"/>
      <c r="D32" s="8"/>
      <c r="E32" s="8"/>
      <c r="F32" s="8"/>
      <c r="G32" s="8"/>
    </row>
    <row r="33" spans="2:7" x14ac:dyDescent="0.25">
      <c r="B33" s="11" t="s">
        <v>16</v>
      </c>
      <c r="C33" s="12"/>
      <c r="D33" s="8"/>
      <c r="E33" s="8"/>
      <c r="F33" s="8"/>
      <c r="G33" s="8"/>
    </row>
    <row r="36" spans="2:7" x14ac:dyDescent="0.25">
      <c r="B36" s="53" t="s">
        <v>55</v>
      </c>
      <c r="C36" s="53" t="s">
        <v>25</v>
      </c>
    </row>
    <row r="37" spans="2:7" ht="15.75" thickBot="1" x14ac:dyDescent="0.3"/>
    <row r="38" spans="2:7" ht="33" thickBot="1" x14ac:dyDescent="0.3">
      <c r="B38" s="33" t="s">
        <v>26</v>
      </c>
      <c r="C38" s="33" t="s">
        <v>59</v>
      </c>
      <c r="D38" s="40" t="s">
        <v>27</v>
      </c>
      <c r="E38" s="40" t="s">
        <v>28</v>
      </c>
      <c r="F38" s="41" t="s">
        <v>29</v>
      </c>
    </row>
    <row r="39" spans="2:7" x14ac:dyDescent="0.25">
      <c r="B39" s="83">
        <v>1</v>
      </c>
      <c r="C39" s="60" t="s">
        <v>30</v>
      </c>
      <c r="D39" s="36">
        <v>0.8</v>
      </c>
      <c r="E39" s="36">
        <v>0.4</v>
      </c>
      <c r="F39" s="36">
        <f>D39*E39</f>
        <v>0.32000000000000006</v>
      </c>
    </row>
    <row r="40" spans="2:7" x14ac:dyDescent="0.25">
      <c r="B40" s="84"/>
      <c r="C40" s="61" t="s">
        <v>31</v>
      </c>
      <c r="D40" s="37">
        <v>0.8</v>
      </c>
      <c r="E40" s="37">
        <v>0.4</v>
      </c>
      <c r="F40" s="37">
        <f>D40*E40</f>
        <v>0.32000000000000006</v>
      </c>
    </row>
    <row r="41" spans="2:7" x14ac:dyDescent="0.25">
      <c r="B41" s="84"/>
      <c r="C41" s="61" t="s">
        <v>32</v>
      </c>
      <c r="D41" s="37">
        <v>1.6</v>
      </c>
      <c r="E41" s="37">
        <v>1.2</v>
      </c>
      <c r="F41" s="37">
        <f t="shared" ref="F41:F63" si="0">D41*E41</f>
        <v>1.92</v>
      </c>
    </row>
    <row r="42" spans="2:7" x14ac:dyDescent="0.25">
      <c r="B42" s="84"/>
      <c r="C42" s="61" t="s">
        <v>33</v>
      </c>
      <c r="D42" s="37">
        <v>1.6</v>
      </c>
      <c r="E42" s="37">
        <v>1.6</v>
      </c>
      <c r="F42" s="37">
        <f t="shared" si="0"/>
        <v>2.5600000000000005</v>
      </c>
    </row>
    <row r="43" spans="2:7" x14ac:dyDescent="0.25">
      <c r="B43" s="84"/>
      <c r="C43" s="62" t="s">
        <v>60</v>
      </c>
      <c r="D43" s="37">
        <v>2.2999999999999998</v>
      </c>
      <c r="E43" s="37">
        <v>1.2</v>
      </c>
      <c r="F43" s="37">
        <f t="shared" si="0"/>
        <v>2.76</v>
      </c>
    </row>
    <row r="44" spans="2:7" x14ac:dyDescent="0.25">
      <c r="B44" s="84"/>
      <c r="C44" s="61" t="s">
        <v>34</v>
      </c>
      <c r="D44" s="37">
        <v>2.5</v>
      </c>
      <c r="E44" s="37">
        <v>2</v>
      </c>
      <c r="F44" s="37">
        <f t="shared" si="0"/>
        <v>5</v>
      </c>
    </row>
    <row r="45" spans="2:7" x14ac:dyDescent="0.25">
      <c r="B45" s="84"/>
      <c r="C45" s="61" t="s">
        <v>35</v>
      </c>
      <c r="D45" s="37">
        <v>0.8</v>
      </c>
      <c r="E45" s="37">
        <v>0.4</v>
      </c>
      <c r="F45" s="37">
        <f t="shared" si="0"/>
        <v>0.32000000000000006</v>
      </c>
    </row>
    <row r="46" spans="2:7" ht="15.75" thickBot="1" x14ac:dyDescent="0.3">
      <c r="B46" s="85"/>
      <c r="C46" s="63" t="s">
        <v>36</v>
      </c>
      <c r="D46" s="38">
        <v>0.8</v>
      </c>
      <c r="E46" s="38">
        <v>0.4</v>
      </c>
      <c r="F46" s="38">
        <f t="shared" si="0"/>
        <v>0.32000000000000006</v>
      </c>
    </row>
    <row r="47" spans="2:7" x14ac:dyDescent="0.25">
      <c r="B47" s="83">
        <v>2</v>
      </c>
      <c r="C47" s="36" t="s">
        <v>37</v>
      </c>
      <c r="D47" s="39">
        <v>1.6</v>
      </c>
      <c r="E47" s="39">
        <v>1.2</v>
      </c>
      <c r="F47" s="45">
        <f t="shared" si="0"/>
        <v>1.92</v>
      </c>
    </row>
    <row r="48" spans="2:7" x14ac:dyDescent="0.25">
      <c r="B48" s="84"/>
      <c r="C48" s="37" t="s">
        <v>38</v>
      </c>
      <c r="D48" s="37">
        <v>0.8</v>
      </c>
      <c r="E48" s="37">
        <v>0.4</v>
      </c>
      <c r="F48" s="43">
        <f t="shared" si="0"/>
        <v>0.32000000000000006</v>
      </c>
    </row>
    <row r="49" spans="2:6" x14ac:dyDescent="0.25">
      <c r="B49" s="84"/>
      <c r="C49" s="37" t="s">
        <v>39</v>
      </c>
      <c r="D49" s="37">
        <v>1.2</v>
      </c>
      <c r="E49" s="37">
        <v>0.8</v>
      </c>
      <c r="F49" s="43">
        <f t="shared" si="0"/>
        <v>0.96</v>
      </c>
    </row>
    <row r="50" spans="2:6" ht="15.75" thickBot="1" x14ac:dyDescent="0.3">
      <c r="B50" s="85"/>
      <c r="C50" s="38" t="s">
        <v>40</v>
      </c>
      <c r="D50" s="38">
        <v>1.2</v>
      </c>
      <c r="E50" s="38">
        <v>0.8</v>
      </c>
      <c r="F50" s="44">
        <f t="shared" si="0"/>
        <v>0.96</v>
      </c>
    </row>
    <row r="51" spans="2:6" x14ac:dyDescent="0.25">
      <c r="B51" s="83">
        <v>3</v>
      </c>
      <c r="C51" s="36" t="s">
        <v>41</v>
      </c>
      <c r="D51" s="36">
        <v>0.8</v>
      </c>
      <c r="E51" s="36">
        <v>0.8</v>
      </c>
      <c r="F51" s="42">
        <f t="shared" si="0"/>
        <v>0.64000000000000012</v>
      </c>
    </row>
    <row r="52" spans="2:6" x14ac:dyDescent="0.25">
      <c r="B52" s="84"/>
      <c r="C52" s="39" t="s">
        <v>42</v>
      </c>
      <c r="D52" s="39">
        <v>0.8</v>
      </c>
      <c r="E52" s="39">
        <v>0.8</v>
      </c>
      <c r="F52" s="45">
        <f t="shared" si="0"/>
        <v>0.64000000000000012</v>
      </c>
    </row>
    <row r="53" spans="2:6" x14ac:dyDescent="0.25">
      <c r="B53" s="84"/>
      <c r="C53" s="39" t="s">
        <v>43</v>
      </c>
      <c r="D53" s="39">
        <v>0.8</v>
      </c>
      <c r="E53" s="39">
        <v>0.4</v>
      </c>
      <c r="F53" s="45">
        <f t="shared" si="0"/>
        <v>0.32000000000000006</v>
      </c>
    </row>
    <row r="54" spans="2:6" x14ac:dyDescent="0.25">
      <c r="B54" s="84"/>
      <c r="C54" s="39" t="s">
        <v>44</v>
      </c>
      <c r="D54" s="39">
        <v>0.8</v>
      </c>
      <c r="E54" s="39">
        <v>0.4</v>
      </c>
      <c r="F54" s="45">
        <f t="shared" si="0"/>
        <v>0.32000000000000006</v>
      </c>
    </row>
    <row r="55" spans="2:6" ht="15.75" thickBot="1" x14ac:dyDescent="0.3">
      <c r="B55" s="85"/>
      <c r="C55" s="35" t="s">
        <v>45</v>
      </c>
      <c r="D55" s="35">
        <v>2.4</v>
      </c>
      <c r="E55" s="35">
        <v>1.2</v>
      </c>
      <c r="F55" s="46">
        <f t="shared" si="0"/>
        <v>2.88</v>
      </c>
    </row>
    <row r="56" spans="2:6" x14ac:dyDescent="0.25">
      <c r="B56" s="83">
        <v>4</v>
      </c>
      <c r="C56" s="36" t="s">
        <v>46</v>
      </c>
      <c r="D56" s="36">
        <v>1.6</v>
      </c>
      <c r="E56" s="36">
        <v>1.6</v>
      </c>
      <c r="F56" s="42">
        <f t="shared" si="0"/>
        <v>2.5600000000000005</v>
      </c>
    </row>
    <row r="57" spans="2:6" x14ac:dyDescent="0.25">
      <c r="B57" s="84"/>
      <c r="C57" s="39" t="s">
        <v>47</v>
      </c>
      <c r="D57" s="39">
        <v>8</v>
      </c>
      <c r="E57" s="39">
        <v>3.6</v>
      </c>
      <c r="F57" s="45">
        <f t="shared" si="0"/>
        <v>28.8</v>
      </c>
    </row>
    <row r="58" spans="2:6" ht="15.75" thickBot="1" x14ac:dyDescent="0.3">
      <c r="B58" s="85"/>
      <c r="C58" s="34" t="s">
        <v>48</v>
      </c>
      <c r="D58" s="34">
        <v>1.2</v>
      </c>
      <c r="E58" s="34">
        <v>0.8</v>
      </c>
      <c r="F58" s="47">
        <f t="shared" si="0"/>
        <v>0.96</v>
      </c>
    </row>
    <row r="59" spans="2:6" x14ac:dyDescent="0.25">
      <c r="B59" s="86">
        <v>5</v>
      </c>
      <c r="C59" s="36" t="s">
        <v>49</v>
      </c>
      <c r="D59" s="36">
        <v>1.2</v>
      </c>
      <c r="E59" s="36">
        <v>0.8</v>
      </c>
      <c r="F59" s="36">
        <f t="shared" si="0"/>
        <v>0.96</v>
      </c>
    </row>
    <row r="60" spans="2:6" x14ac:dyDescent="0.25">
      <c r="B60" s="86"/>
      <c r="C60" s="37" t="s">
        <v>50</v>
      </c>
      <c r="D60" s="37">
        <v>1.2</v>
      </c>
      <c r="E60" s="37">
        <v>0.4</v>
      </c>
      <c r="F60" s="37">
        <f t="shared" si="0"/>
        <v>0.48</v>
      </c>
    </row>
    <row r="61" spans="2:6" x14ac:dyDescent="0.25">
      <c r="B61" s="86"/>
      <c r="C61" s="37" t="s">
        <v>51</v>
      </c>
      <c r="D61" s="37">
        <v>1.2</v>
      </c>
      <c r="E61" s="37">
        <v>0.4</v>
      </c>
      <c r="F61" s="37">
        <f t="shared" si="0"/>
        <v>0.48</v>
      </c>
    </row>
    <row r="62" spans="2:6" x14ac:dyDescent="0.25">
      <c r="B62" s="86"/>
      <c r="C62" s="37" t="s">
        <v>46</v>
      </c>
      <c r="D62" s="37">
        <v>1.2</v>
      </c>
      <c r="E62" s="37">
        <v>0.8</v>
      </c>
      <c r="F62" s="37">
        <f t="shared" si="0"/>
        <v>0.96</v>
      </c>
    </row>
    <row r="63" spans="2:6" x14ac:dyDescent="0.25">
      <c r="B63" s="86"/>
      <c r="C63" s="37" t="s">
        <v>52</v>
      </c>
      <c r="D63" s="37">
        <v>1.2</v>
      </c>
      <c r="E63" s="37">
        <v>0.8</v>
      </c>
      <c r="F63" s="37">
        <f t="shared" si="0"/>
        <v>0.96</v>
      </c>
    </row>
    <row r="64" spans="2:6" ht="15.75" thickBot="1" x14ac:dyDescent="0.3">
      <c r="B64" s="87"/>
      <c r="C64" s="38" t="s">
        <v>53</v>
      </c>
      <c r="D64" s="38">
        <v>2</v>
      </c>
      <c r="E64" s="38">
        <v>0.8</v>
      </c>
      <c r="F64" s="38">
        <f>D64*E64</f>
        <v>1.6</v>
      </c>
    </row>
    <row r="65" spans="3:6" ht="15.75" thickBot="1" x14ac:dyDescent="0.3">
      <c r="C65" s="64" t="s">
        <v>54</v>
      </c>
      <c r="D65" s="65">
        <f>SUM(D39:D64)</f>
        <v>40.40000000000002</v>
      </c>
      <c r="E65" s="66">
        <f t="shared" ref="E65:F65" si="1">SUM(E39:E64)</f>
        <v>24.400000000000006</v>
      </c>
      <c r="F65" s="67">
        <f t="shared" si="1"/>
        <v>60.24</v>
      </c>
    </row>
  </sheetData>
  <mergeCells count="18">
    <mergeCell ref="B16:G16"/>
    <mergeCell ref="B17:G17"/>
    <mergeCell ref="B14:G14"/>
    <mergeCell ref="B28:D29"/>
    <mergeCell ref="B19:C19"/>
    <mergeCell ref="B21:C21"/>
    <mergeCell ref="B23:G23"/>
    <mergeCell ref="B26:G26"/>
    <mergeCell ref="B9:E9"/>
    <mergeCell ref="B10:F10"/>
    <mergeCell ref="B2:G2"/>
    <mergeCell ref="C3:G3"/>
    <mergeCell ref="B15:G15"/>
    <mergeCell ref="B39:B46"/>
    <mergeCell ref="B47:B50"/>
    <mergeCell ref="B51:B55"/>
    <mergeCell ref="B56:B58"/>
    <mergeCell ref="B59:B64"/>
  </mergeCells>
  <pageMargins left="0.31496062992125984" right="0.31496062992125984" top="0.74803149606299213" bottom="0.35433070866141736" header="0.31496062992125984" footer="0.31496062992125984"/>
  <pageSetup paperSize="5" scale="75" firstPageNumber="429496729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34A0-0941-4528-B07F-1E72B8BA0ECA}">
  <dimension ref="B2:F29"/>
  <sheetViews>
    <sheetView topLeftCell="A9" workbookViewId="0">
      <selection activeCell="B2" sqref="B2:F29"/>
    </sheetView>
  </sheetViews>
  <sheetFormatPr baseColWidth="10" defaultRowHeight="15" x14ac:dyDescent="0.25"/>
  <cols>
    <col min="2" max="2" width="7.140625" customWidth="1"/>
    <col min="3" max="3" width="26.42578125" customWidth="1"/>
    <col min="6" max="6" width="17.7109375" customWidth="1"/>
  </cols>
  <sheetData>
    <row r="2" spans="2:6" ht="27.75" customHeight="1" thickBot="1" x14ac:dyDescent="0.3">
      <c r="B2" s="68" t="s">
        <v>26</v>
      </c>
      <c r="C2" s="68" t="s">
        <v>59</v>
      </c>
      <c r="D2" s="68" t="s">
        <v>27</v>
      </c>
      <c r="E2" s="68" t="s">
        <v>28</v>
      </c>
      <c r="F2" s="68" t="s">
        <v>61</v>
      </c>
    </row>
    <row r="3" spans="2:6" x14ac:dyDescent="0.25">
      <c r="B3" s="54">
        <v>1</v>
      </c>
      <c r="C3" s="72" t="s">
        <v>30</v>
      </c>
      <c r="D3" s="75">
        <v>0.8</v>
      </c>
      <c r="E3" s="78">
        <v>0.4</v>
      </c>
      <c r="F3" s="75">
        <v>0.32000000000000006</v>
      </c>
    </row>
    <row r="4" spans="2:6" x14ac:dyDescent="0.25">
      <c r="B4" s="69"/>
      <c r="C4" s="73" t="s">
        <v>31</v>
      </c>
      <c r="D4" s="76">
        <v>0.8</v>
      </c>
      <c r="E4" s="79">
        <v>0.4</v>
      </c>
      <c r="F4" s="76">
        <v>0.32000000000000006</v>
      </c>
    </row>
    <row r="5" spans="2:6" x14ac:dyDescent="0.25">
      <c r="B5" s="69"/>
      <c r="C5" s="73" t="s">
        <v>32</v>
      </c>
      <c r="D5" s="76">
        <v>1.6</v>
      </c>
      <c r="E5" s="79">
        <v>1.2</v>
      </c>
      <c r="F5" s="76">
        <v>1.92</v>
      </c>
    </row>
    <row r="6" spans="2:6" x14ac:dyDescent="0.25">
      <c r="B6" s="69"/>
      <c r="C6" s="73" t="s">
        <v>33</v>
      </c>
      <c r="D6" s="76">
        <v>1.6</v>
      </c>
      <c r="E6" s="79">
        <v>1.6</v>
      </c>
      <c r="F6" s="76">
        <v>2.5600000000000005</v>
      </c>
    </row>
    <row r="7" spans="2:6" x14ac:dyDescent="0.25">
      <c r="B7" s="69"/>
      <c r="C7" s="73" t="s">
        <v>60</v>
      </c>
      <c r="D7" s="76">
        <v>2.2999999999999998</v>
      </c>
      <c r="E7" s="79">
        <v>1.2</v>
      </c>
      <c r="F7" s="76">
        <v>2.76</v>
      </c>
    </row>
    <row r="8" spans="2:6" x14ac:dyDescent="0.25">
      <c r="B8" s="69"/>
      <c r="C8" s="73" t="s">
        <v>34</v>
      </c>
      <c r="D8" s="76">
        <v>2.5</v>
      </c>
      <c r="E8" s="79">
        <v>2</v>
      </c>
      <c r="F8" s="76">
        <v>5</v>
      </c>
    </row>
    <row r="9" spans="2:6" x14ac:dyDescent="0.25">
      <c r="B9" s="69"/>
      <c r="C9" s="73" t="s">
        <v>35</v>
      </c>
      <c r="D9" s="76">
        <v>0.8</v>
      </c>
      <c r="E9" s="79">
        <v>0.4</v>
      </c>
      <c r="F9" s="76">
        <v>0.32000000000000006</v>
      </c>
    </row>
    <row r="10" spans="2:6" ht="15.75" thickBot="1" x14ac:dyDescent="0.3">
      <c r="B10" s="2"/>
      <c r="C10" s="74" t="s">
        <v>36</v>
      </c>
      <c r="D10" s="77">
        <v>0.8</v>
      </c>
      <c r="E10" s="59">
        <v>0.4</v>
      </c>
      <c r="F10" s="77">
        <v>0.32000000000000006</v>
      </c>
    </row>
    <row r="11" spans="2:6" x14ac:dyDescent="0.25">
      <c r="B11" s="54">
        <v>2</v>
      </c>
      <c r="C11" s="72" t="s">
        <v>37</v>
      </c>
      <c r="D11" s="75">
        <v>1.6</v>
      </c>
      <c r="E11" s="78">
        <v>1.2</v>
      </c>
      <c r="F11" s="75">
        <v>1.92</v>
      </c>
    </row>
    <row r="12" spans="2:6" x14ac:dyDescent="0.25">
      <c r="B12" s="69"/>
      <c r="C12" s="73" t="s">
        <v>38</v>
      </c>
      <c r="D12" s="76">
        <v>0.8</v>
      </c>
      <c r="E12" s="79">
        <v>0.4</v>
      </c>
      <c r="F12" s="76">
        <v>0.32000000000000006</v>
      </c>
    </row>
    <row r="13" spans="2:6" x14ac:dyDescent="0.25">
      <c r="B13" s="69"/>
      <c r="C13" s="73" t="s">
        <v>39</v>
      </c>
      <c r="D13" s="76">
        <v>1.2</v>
      </c>
      <c r="E13" s="79">
        <v>0.8</v>
      </c>
      <c r="F13" s="76">
        <v>0.96</v>
      </c>
    </row>
    <row r="14" spans="2:6" ht="15.75" thickBot="1" x14ac:dyDescent="0.3">
      <c r="B14" s="2"/>
      <c r="C14" s="74" t="s">
        <v>40</v>
      </c>
      <c r="D14" s="77">
        <v>1.2</v>
      </c>
      <c r="E14" s="59">
        <v>0.8</v>
      </c>
      <c r="F14" s="77">
        <v>0.96</v>
      </c>
    </row>
    <row r="15" spans="2:6" x14ac:dyDescent="0.25">
      <c r="B15" s="54">
        <v>3</v>
      </c>
      <c r="C15" s="72" t="s">
        <v>41</v>
      </c>
      <c r="D15" s="75">
        <v>0.8</v>
      </c>
      <c r="E15" s="78">
        <v>0.8</v>
      </c>
      <c r="F15" s="75">
        <v>0.64000000000000012</v>
      </c>
    </row>
    <row r="16" spans="2:6" x14ac:dyDescent="0.25">
      <c r="B16" s="69"/>
      <c r="C16" s="73" t="s">
        <v>42</v>
      </c>
      <c r="D16" s="76">
        <v>0.8</v>
      </c>
      <c r="E16" s="79">
        <v>0.8</v>
      </c>
      <c r="F16" s="76">
        <v>0.64000000000000012</v>
      </c>
    </row>
    <row r="17" spans="2:6" x14ac:dyDescent="0.25">
      <c r="B17" s="69"/>
      <c r="C17" s="73" t="s">
        <v>43</v>
      </c>
      <c r="D17" s="76">
        <v>0.8</v>
      </c>
      <c r="E17" s="79">
        <v>0.4</v>
      </c>
      <c r="F17" s="76">
        <v>0.32000000000000006</v>
      </c>
    </row>
    <row r="18" spans="2:6" x14ac:dyDescent="0.25">
      <c r="B18" s="69"/>
      <c r="C18" s="73" t="s">
        <v>44</v>
      </c>
      <c r="D18" s="76">
        <v>0.8</v>
      </c>
      <c r="E18" s="79">
        <v>0.4</v>
      </c>
      <c r="F18" s="76">
        <v>0.32000000000000006</v>
      </c>
    </row>
    <row r="19" spans="2:6" ht="15.75" thickBot="1" x14ac:dyDescent="0.3">
      <c r="B19" s="2"/>
      <c r="C19" s="74" t="s">
        <v>45</v>
      </c>
      <c r="D19" s="77">
        <v>2.4</v>
      </c>
      <c r="E19" s="59">
        <v>1.2</v>
      </c>
      <c r="F19" s="77">
        <v>2.88</v>
      </c>
    </row>
    <row r="20" spans="2:6" x14ac:dyDescent="0.25">
      <c r="B20" s="54">
        <v>4</v>
      </c>
      <c r="C20" s="72" t="s">
        <v>46</v>
      </c>
      <c r="D20" s="75">
        <v>1.6</v>
      </c>
      <c r="E20" s="78">
        <v>1.6</v>
      </c>
      <c r="F20" s="75">
        <v>2.5600000000000005</v>
      </c>
    </row>
    <row r="21" spans="2:6" x14ac:dyDescent="0.25">
      <c r="B21" s="69"/>
      <c r="C21" s="73" t="s">
        <v>47</v>
      </c>
      <c r="D21" s="76">
        <v>8</v>
      </c>
      <c r="E21" s="79">
        <v>3.6</v>
      </c>
      <c r="F21" s="76">
        <v>28.8</v>
      </c>
    </row>
    <row r="22" spans="2:6" ht="15.75" thickBot="1" x14ac:dyDescent="0.3">
      <c r="B22" s="2"/>
      <c r="C22" s="74" t="s">
        <v>48</v>
      </c>
      <c r="D22" s="77">
        <v>1.2</v>
      </c>
      <c r="E22" s="59">
        <v>0.8</v>
      </c>
      <c r="F22" s="77">
        <v>0.96</v>
      </c>
    </row>
    <row r="23" spans="2:6" x14ac:dyDescent="0.25">
      <c r="B23" s="54">
        <v>5</v>
      </c>
      <c r="C23" s="72" t="s">
        <v>49</v>
      </c>
      <c r="D23" s="75">
        <v>1.2</v>
      </c>
      <c r="E23" s="78">
        <v>0.8</v>
      </c>
      <c r="F23" s="75">
        <v>0.96</v>
      </c>
    </row>
    <row r="24" spans="2:6" x14ac:dyDescent="0.25">
      <c r="B24" s="69"/>
      <c r="C24" s="73" t="s">
        <v>50</v>
      </c>
      <c r="D24" s="76">
        <v>1.2</v>
      </c>
      <c r="E24" s="79">
        <v>0.4</v>
      </c>
      <c r="F24" s="76">
        <v>0.48</v>
      </c>
    </row>
    <row r="25" spans="2:6" x14ac:dyDescent="0.25">
      <c r="B25" s="69"/>
      <c r="C25" s="73" t="s">
        <v>51</v>
      </c>
      <c r="D25" s="76">
        <v>1.2</v>
      </c>
      <c r="E25" s="79">
        <v>0.4</v>
      </c>
      <c r="F25" s="76">
        <v>0.48</v>
      </c>
    </row>
    <row r="26" spans="2:6" x14ac:dyDescent="0.25">
      <c r="B26" s="69"/>
      <c r="C26" s="73" t="s">
        <v>46</v>
      </c>
      <c r="D26" s="76">
        <v>1.2</v>
      </c>
      <c r="E26" s="79">
        <v>0.8</v>
      </c>
      <c r="F26" s="76">
        <v>0.96</v>
      </c>
    </row>
    <row r="27" spans="2:6" x14ac:dyDescent="0.25">
      <c r="B27" s="69"/>
      <c r="C27" s="73" t="s">
        <v>52</v>
      </c>
      <c r="D27" s="76">
        <v>1.2</v>
      </c>
      <c r="E27" s="79">
        <v>0.8</v>
      </c>
      <c r="F27" s="76">
        <v>0.96</v>
      </c>
    </row>
    <row r="28" spans="2:6" ht="15.75" thickBot="1" x14ac:dyDescent="0.3">
      <c r="B28" s="2"/>
      <c r="C28" s="74" t="s">
        <v>53</v>
      </c>
      <c r="D28" s="77">
        <v>2</v>
      </c>
      <c r="E28" s="59">
        <v>0.8</v>
      </c>
      <c r="F28" s="77">
        <v>1.6</v>
      </c>
    </row>
    <row r="29" spans="2:6" ht="15.75" thickBot="1" x14ac:dyDescent="0.3">
      <c r="C29" s="70" t="s">
        <v>54</v>
      </c>
      <c r="D29" s="71">
        <v>40.40000000000002</v>
      </c>
      <c r="E29" s="71">
        <v>24.400000000000006</v>
      </c>
      <c r="F29" s="71">
        <v>60.24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RPP San Bernardo</vt:lpstr>
      <vt:lpstr>Hoja1</vt:lpstr>
      <vt:lpstr>'RPP San Bernardo'!Área_de_impresión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FRANCISCO MIRANDA PASTEN;Rodrigo De La Barra Tapia</dc:creator>
  <cp:lastModifiedBy>Jessica Del Rosario Oliva Salvo</cp:lastModifiedBy>
  <cp:revision>1</cp:revision>
  <cp:lastPrinted>2026-06-25T16:20:37Z</cp:lastPrinted>
  <dcterms:created xsi:type="dcterms:W3CDTF">2019-10-24T11:33:00Z</dcterms:created>
  <dcterms:modified xsi:type="dcterms:W3CDTF">2026-06-25T17:56:31Z</dcterms:modified>
</cp:coreProperties>
</file>